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ez\Documents\0 Enagic\Kangen Beaute\0 환원미 계발\"/>
    </mc:Choice>
  </mc:AlternateContent>
  <xr:revisionPtr revIDLastSave="0" documentId="13_ncr:1_{0ED0A9EA-ED91-4FD8-959D-83674A5FC0BA}" xr6:coauthVersionLast="47" xr6:coauthVersionMax="47" xr10:uidLastSave="{00000000-0000-0000-0000-000000000000}"/>
  <bookViews>
    <workbookView xWindow="10032" yWindow="0" windowWidth="27192" windowHeight="16656" xr2:uid="{5789B2EE-43FA-4DC6-899B-38583605C008}"/>
  </bookViews>
  <sheets>
    <sheet name="Document" sheetId="5" r:id="rId1"/>
    <sheet name="Market Expansion Plan" sheetId="1" r:id="rId2"/>
    <sheet name="Future Order Plan" sheetId="2" r:id="rId3"/>
    <sheet name="Overlay Requir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40" i="2" l="1"/>
  <c r="AJ40" i="2"/>
  <c r="AI40" i="2"/>
  <c r="AH40" i="2"/>
  <c r="AG40" i="2"/>
  <c r="AF40" i="2"/>
  <c r="AE40" i="2"/>
  <c r="AD40" i="2"/>
  <c r="D40" i="2"/>
  <c r="AK40" i="1"/>
  <c r="AJ40" i="1"/>
  <c r="AI40" i="1"/>
  <c r="AH40" i="1"/>
  <c r="AG40" i="1"/>
  <c r="AF40" i="1"/>
  <c r="AE40" i="1"/>
  <c r="AD40" i="1"/>
  <c r="D40" i="1"/>
</calcChain>
</file>

<file path=xl/sharedStrings.xml><?xml version="1.0" encoding="utf-8"?>
<sst xmlns="http://schemas.openxmlformats.org/spreadsheetml/2006/main" count="684" uniqueCount="243">
  <si>
    <t>Planned Market Expansion</t>
  </si>
  <si>
    <t>Est Annual</t>
  </si>
  <si>
    <t>REG</t>
  </si>
  <si>
    <t>Planned Order</t>
  </si>
  <si>
    <t>Demand</t>
  </si>
  <si>
    <t>MTH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</si>
  <si>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</si>
  <si>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</si>
  <si>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</si>
  <si>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</si>
  <si>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</si>
  <si>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</si>
  <si>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</si>
  <si>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</si>
  <si>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</si>
  <si>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</si>
  <si>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</si>
  <si>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MAR</t>
  </si>
  <si>
    <t>SEP 26</t>
  </si>
  <si>
    <t>NOV 26</t>
  </si>
  <si>
    <t>JAN 27</t>
  </si>
  <si>
    <t>MAR 27</t>
  </si>
  <si>
    <t>MAY 27</t>
  </si>
  <si>
    <t>JUL 27</t>
  </si>
  <si>
    <t>SEP 27</t>
  </si>
  <si>
    <t>NOV 27</t>
  </si>
  <si>
    <t>MACIPO</t>
  </si>
  <si>
    <t>KB</t>
  </si>
  <si>
    <t>PT</t>
  </si>
  <si>
    <t>P1</t>
  </si>
  <si>
    <t>P2</t>
  </si>
  <si>
    <t>P3</t>
  </si>
  <si>
    <t>NA1</t>
  </si>
  <si>
    <t>NA2</t>
  </si>
  <si>
    <t>NA3</t>
  </si>
  <si>
    <t>NA4</t>
  </si>
  <si>
    <t>NA5</t>
  </si>
  <si>
    <t>NA6</t>
  </si>
  <si>
    <t>NA7</t>
  </si>
  <si>
    <t>NA8</t>
  </si>
  <si>
    <t>USA</t>
  </si>
  <si>
    <t>North America</t>
  </si>
  <si>
    <t>US</t>
  </si>
  <si>
    <t>English</t>
  </si>
  <si>
    <t>P1D</t>
  </si>
  <si>
    <t>P3D</t>
  </si>
  <si>
    <t>Canada</t>
  </si>
  <si>
    <t>CA</t>
  </si>
  <si>
    <t>English + French</t>
  </si>
  <si>
    <t>P2D</t>
  </si>
  <si>
    <t xml:space="preserve">AU </t>
  </si>
  <si>
    <t>Latin America</t>
  </si>
  <si>
    <t>MX</t>
  </si>
  <si>
    <t xml:space="preserve">Spanish </t>
  </si>
  <si>
    <t>overlay</t>
  </si>
  <si>
    <t>New Zealand</t>
  </si>
  <si>
    <t>AS1</t>
  </si>
  <si>
    <t>AS2</t>
  </si>
  <si>
    <t>Japan</t>
  </si>
  <si>
    <t>ASEAN</t>
  </si>
  <si>
    <t>HK</t>
  </si>
  <si>
    <t>Brazil</t>
  </si>
  <si>
    <t>SG</t>
  </si>
  <si>
    <t>China</t>
  </si>
  <si>
    <t>TH</t>
  </si>
  <si>
    <t xml:space="preserve">Thai </t>
  </si>
  <si>
    <t>Dubai</t>
  </si>
  <si>
    <t>MY</t>
  </si>
  <si>
    <t>France</t>
  </si>
  <si>
    <t>PH</t>
  </si>
  <si>
    <t>Germany</t>
  </si>
  <si>
    <t>NE.ASIA</t>
  </si>
  <si>
    <t>TW</t>
  </si>
  <si>
    <t>Traditional Chinese</t>
  </si>
  <si>
    <t>Hong Kong</t>
  </si>
  <si>
    <t>KR</t>
  </si>
  <si>
    <t>Korean</t>
  </si>
  <si>
    <t>Indonesia</t>
  </si>
  <si>
    <t>OTHER</t>
  </si>
  <si>
    <t>KH</t>
  </si>
  <si>
    <t xml:space="preserve">Khmer </t>
  </si>
  <si>
    <t>CW1</t>
  </si>
  <si>
    <t>CW2</t>
  </si>
  <si>
    <t>CW5</t>
  </si>
  <si>
    <t>CW3</t>
  </si>
  <si>
    <t>Italy</t>
  </si>
  <si>
    <t>COMWTH</t>
  </si>
  <si>
    <t>GB</t>
  </si>
  <si>
    <t>Korea</t>
  </si>
  <si>
    <t>AU/NZ</t>
  </si>
  <si>
    <t>Malaysia</t>
  </si>
  <si>
    <t>EU1</t>
  </si>
  <si>
    <t>Mexico</t>
  </si>
  <si>
    <t>EUROPE</t>
  </si>
  <si>
    <t>DE</t>
  </si>
  <si>
    <t>German</t>
  </si>
  <si>
    <t>Nigeria</t>
  </si>
  <si>
    <t>IT</t>
  </si>
  <si>
    <t>Italian</t>
  </si>
  <si>
    <t>Philippines</t>
  </si>
  <si>
    <t>FR</t>
  </si>
  <si>
    <t>French</t>
  </si>
  <si>
    <t>Portugal/Spain</t>
  </si>
  <si>
    <t>ES</t>
  </si>
  <si>
    <t>Spanish</t>
  </si>
  <si>
    <t>Singapore</t>
  </si>
  <si>
    <t>JP</t>
  </si>
  <si>
    <t>Japanese</t>
  </si>
  <si>
    <t>UAE</t>
  </si>
  <si>
    <t>RO</t>
  </si>
  <si>
    <t>Romanian</t>
  </si>
  <si>
    <t>ID</t>
  </si>
  <si>
    <t>Taiwan</t>
  </si>
  <si>
    <t>Bahasa</t>
  </si>
  <si>
    <t>TR</t>
  </si>
  <si>
    <t>Thailand</t>
  </si>
  <si>
    <t>Turkish</t>
  </si>
  <si>
    <t>AE</t>
  </si>
  <si>
    <t xml:space="preserve">Total </t>
  </si>
  <si>
    <t>English+Arabic</t>
  </si>
  <si>
    <t>TH1</t>
  </si>
  <si>
    <t>IN</t>
  </si>
  <si>
    <t>Portuguese</t>
  </si>
  <si>
    <t>L.AMERICA</t>
  </si>
  <si>
    <t>BR</t>
  </si>
  <si>
    <t xml:space="preserve">Portuguese </t>
  </si>
  <si>
    <t>RU</t>
  </si>
  <si>
    <t xml:space="preserve">Russian </t>
  </si>
  <si>
    <t>Kangen Beaute</t>
  </si>
  <si>
    <t>Prototype</t>
  </si>
  <si>
    <t>Pilot Order 1</t>
  </si>
  <si>
    <t>Total Annual Demand (Estimated)</t>
  </si>
  <si>
    <t>Est Yrly</t>
  </si>
  <si>
    <t>Trad Chinese</t>
  </si>
  <si>
    <t>Eng+French</t>
  </si>
  <si>
    <t>Arabic</t>
  </si>
  <si>
    <t>N.AMERI</t>
  </si>
  <si>
    <t>L.AMERI</t>
  </si>
  <si>
    <t>US EN Label OK?</t>
  </si>
  <si>
    <t>Sticker Type</t>
  </si>
  <si>
    <t>Sticker Language</t>
  </si>
  <si>
    <t>Applied By</t>
  </si>
  <si>
    <t>Key Sticker Content</t>
  </si>
  <si>
    <t>Print Timing</t>
  </si>
  <si>
    <t>❌ No</t>
  </si>
  <si>
    <t>Full local-language</t>
  </si>
  <si>
    <t>Mexican importer</t>
  </si>
  <si>
    <t>Product name &amp; function; all precautionary / warning statements; directions for use; net quantity; country of origin; Mexican importer name &amp; address</t>
  </si>
  <si>
    <t>⚠️ Partial</t>
  </si>
  <si>
    <t>Partial bilingual</t>
  </si>
  <si>
    <t>Importer / distributor</t>
  </si>
  <si>
    <t>✅ Yes</t>
  </si>
  <si>
    <t>Entity (EN)</t>
  </si>
  <si>
    <t>Singapore notification holder</t>
  </si>
  <si>
    <t>Singapore notification holder name &amp; Singapore address. No product notification number required on consumer label.</t>
  </si>
  <si>
    <t>Thai</t>
  </si>
  <si>
    <t>Thai notification holder</t>
  </si>
  <si>
    <t>Cosmetic Notification Holder (CNH)</t>
  </si>
  <si>
    <t>Malaysian CNH name &amp; Malaysian address. Animal-origin ingredient disclosure if applicable (if already on INCI list, no extra action). No notification number required on consumer label.</t>
  </si>
  <si>
    <t>Local importer / FDA-PH notification holder</t>
  </si>
  <si>
    <t>Taiwan importer</t>
  </si>
  <si>
    <t>MAH (Marketing Authorization Holder) registered with MFDS</t>
  </si>
  <si>
    <t>Khmer</t>
  </si>
  <si>
    <t>Cambodian importer</t>
  </si>
  <si>
    <t>UK Responsible Person (RP)</t>
  </si>
  <si>
    <t>Australian importer / supplier</t>
  </si>
  <si>
    <t>NZ supplier</t>
  </si>
  <si>
    <t>EU Responsible Person (RP) / importer</t>
  </si>
  <si>
    <t>Same framework as DE. All mandatory consumer-facing information in Italian; EU RP name &amp; EU address. INCI names language-neutral.</t>
  </si>
  <si>
    <t>Same framework as DE. All mandatory consumer-facing information in French; EU RP name &amp; EU address. INCI names language-neutral.</t>
  </si>
  <si>
    <t>Local MAH (Marketing Authorization Holder)</t>
  </si>
  <si>
    <t>Same framework as DE. All mandatory consumer-facing information in Romanian; EU RP name &amp; EU address. INCI names language-neutral.</t>
  </si>
  <si>
    <t>Bahasa Indonesia</t>
  </si>
  <si>
    <t>Indonesian importer / BPOM notification holder</t>
  </si>
  <si>
    <t>Turkish importer / Responsible Technical Person (RTP)</t>
  </si>
  <si>
    <t>Arabic additive</t>
  </si>
  <si>
    <t>UAE importer / Montaji registrant</t>
  </si>
  <si>
    <t>Entity (EN) + RC number</t>
  </si>
  <si>
    <t>AFE-registered Brazilian importer</t>
  </si>
  <si>
    <t>Full local-language + EAC mark</t>
  </si>
  <si>
    <t>Russian</t>
  </si>
  <si>
    <t>✅ Pre-print OK. No product registration number on label. Aviso de Funcionamiento is importer-level, not product-specific. Print once Spanish artwork finalised and importer confirmed.</t>
  </si>
  <si>
    <t>English + Traditional Chinese (warnings only)</t>
  </si>
  <si>
    <t>Traditional Chinese translation of warning and caution statements only (e.g. “Keep out of reach of children”, “Avoid contact with eyes”). All other label content may remain English-only.</t>
  </si>
  <si>
    <t>✅ Pre-print OK. No government-issued product number on label. Warning text is standardised and known in advance. Print once all US label warning statements are identified and Traditional Chinese equivalents confirmed.</t>
  </si>
  <si>
    <t>✅ Pre-print OK. Once Singapore notification holder details confirmed.</t>
  </si>
  <si>
    <t>Product name (Thai or transliterated); INCI ingredients (INCI accepted under ASEAN Cosmetic Directive); directions in Thai; warnings/cautions in Thai; net quantity; expiry / PAO; batch code; Thai notification holder name &amp; address; Thai FDA notification number.</t>
  </si>
  <si>
    <t>❌ Cannot pre-print. Thai FDA reviews and approves label artwork as part of notification — retail sticker must match notified artwork exactly. Notification number (issued post-approval) must appear on sticker. Sequence: lock sticker design → submit notification with that artwork → receive notification number → print stickers → apply before retail.</t>
  </si>
  <si>
    <t>English or Bahasa Malaysia</t>
  </si>
  <si>
    <t>✅ Pre-print OK. Once CNH details confirmed. NPRA notification number not mandated on consumer label.</t>
  </si>
  <si>
    <t>Certificate of Product Notification (CPN) number; local importer name &amp; Philippine address. All other English content accepted as-is.</t>
  </si>
  <si>
    <t>❌ Cannot fully pre-print. CPN number issued by FDA-PH must appear on sticker. Pre-design all sticker content with a CPN number placeholder; finalise and print only after CPN is issued (within 2–3 month lead time).</t>
  </si>
  <si>
    <t>Product name &amp; function; ingredient list (Traditional Chinese; INCI accepted as supplement); directions &amp; warnings in Traditional Chinese; net quantity; expiry / PAO; batch code; country of origin; TFDA notification number; Taiwan importer name &amp; address. Drug disclaimer if applicable: 「本產品為化粧品，無醫療效能」.</t>
  </si>
  <si>
    <t>❌ Cannot pre-print. TFDA notification number required on sticker and issued only after notification. Sticker artwork must also match the design submitted at notification. Sequence: finalise Traditional Chinese design (hold notification number field) → submit notification → receive TFDA number → add number → print → apply before retail.</t>
  </si>
  <si>
    <t>Product name; full INCI ingredient list in Korean transliteration; warnings &amp; precautions in Korean; fragrance allergens above threshold (0.01% rinse-off / 0.001% leave-on) individually disclosed in Korean; expiry / PAO; country of origin; MAH name &amp; Korean address; MFDS MAH registration number.</t>
  </si>
  <si>
    <t>✅ Pre-print OK once MAH is registered. No individual product number required for ordinary cosmetics — MAH registration number covers it and is known as soon as MAH registration is complete. Complete Korean INCI name conversion in advance before artwork finalisation.</t>
  </si>
  <si>
    <t>Product name &amp; function in Khmer; ingredients (INCI accepted alongside Khmer); directions &amp; warnings in Khmer; net quantity; expiry / PAO; batch code; country of origin; Cambodian importer name &amp; address; MoH product registration number.</t>
  </si>
  <si>
    <t>❌ Cannot pre-print. MoH registration number (issued after MoH registration, 3–6 months) must appear on sticker — the longest pre-print constraint of all 25 markets. Begin sticker print run immediately upon registration number receipt.</t>
  </si>
  <si>
    <t>UK Responsible Person name &amp; UK address (mandatory post-Brexit under UK Cosmetics Regulation). All other English content accepted as-is. SCPN notification reference does NOT need to appear on the consumer label per OPSS guidance.</t>
  </si>
  <si>
    <t>✅ Pre-print OK. No product number required on label. Print once UK RP appointed and their details confirmed.</t>
  </si>
  <si>
    <t>Australian supplier or importer name &amp; Australian address. INCI or common English ingredient names accepted. No AICIS product number required on consumer label.</t>
  </si>
  <si>
    <t>✅ Pre-print OK. AICIS registration is entity-level, not product-level. Print once Australian importer/supplier confirmed.</t>
  </si>
  <si>
    <t>NZ supplier name &amp; NZ address. From 1 Jan 2026: if any ingredient is a hazardous substance, additional hazard identification and disposal statements in English must be included — incorporate into sticker design in advance.</t>
  </si>
  <si>
    <t>✅ Pre-print OK. No government product number on label. Print once NZ supplier confirmed. Review ingredient list against hazardous-substance list before finalising artwork if launching close to Jan 2026.</t>
  </si>
  <si>
    <t>Product name &amp; function; INCI ingredient list; directions; warnings / cautions / precautions in German; net quantity; expiry / PAO; batch code; EU Responsible Person name &amp; EU address. INCI names are language-neutral and do not require translation. One EU RP address can cover all 6 EU markets in this file.</t>
  </si>
  <si>
    <t>✅ Pre-print OK. No government product number on consumer label under EU Cosmetics Regulation 1223/2009. CPNP notification near-instant once PIF ready. Print once German artwork finalised and EU RP appointed. If label changes materially after CPNP notification, re-notify.</t>
  </si>
  <si>
    <t>✅ Pre-print OK. Same as DE — no product number on label. Print once Italian artwork finalised and EU RP appointed.</t>
  </si>
  <si>
    <t>✅ Pre-print OK. Same as DE — no product number on label. Print once French artwork finalised and EU RP appointed.</t>
  </si>
  <si>
    <t>Same framework as DE. All mandatory consumer-facing information in Spanish; EU RP name &amp; EU address. INCI names language-neutral. (Distinct from MX — governed by EU Reg., not NOM standards.)</t>
  </si>
  <si>
    <t>✅ Pre-print OK. Same as DE — no product number on label. Print once Spanish artwork finalised and EU RP appointed.</t>
  </si>
  <si>
    <t>Registered Japanese product name; all ingredients using JCIA standardised Japanese names (not INCI — Japan-specific; requires dedicated JCIA name lookup); directions; precautions / warnings in Japanese (including mandatory phrases e.g. 「使用を中止してください」 for irritation); expiry / manufacturing date; net quantity; MAH name &amp; Japanese address.</t>
  </si>
  <si>
    <t>✅ Pre-print OK once MAH is licensed AND JCIA name conversion is complete. JCIA Japanese ingredient name lookup takes 2–4 weeks — initiate early. No individual product number on consumer label for ordinary cosmetics. Do not finalise artwork until all JCIA names are confirmed.</t>
  </si>
  <si>
    <t>✅ Pre-print OK. Same as all EU markets — no product number on label. Print once Romanian artwork finalised and EU RP appointed.</t>
  </si>
  <si>
    <t>Product name &amp; function in Bahasa Indonesia; ingredient list; directions; warnings / precautions in Bahasa Indonesia; net quantity; expiry / PAO; batch code; country of origin; Indonesian importer name &amp; address; BPOM marketing authorisation number; BPOM-issued 2D barcode.</t>
  </si>
  <si>
    <t>❌ Cannot pre-print. Both the BPOM authorisation number and the BPOM-issued 2D barcode are generated only after BPOM approval and must physically appear on the sticker. Sequence: design Bahasa Indonesia artwork → submit to BPOM with exact artwork → receive BPOM approval + 2D barcode → finalise sticker incorporating barcode &amp; number → print → apply before retail.</t>
  </si>
  <si>
    <t>All mandatory elements in Turkish: product name; function; ingredient list; usage instructions; safety warnings in Turkish; shelf life; batch number; Turkish importer / responsible company name &amp; address; UTS notification number.</t>
  </si>
  <si>
    <t>❌ Cannot pre-print. UTS (Ürün Takip Sistemi) notification number issued by TİTCK must appear on sticker. Pre-design full Turkish artwork with a UTS number placeholder; finalise and print immediately upon UTS number receipt (within 3–6 month lead time).</t>
  </si>
  <si>
    <t>Arabic (English already on bottle)</t>
  </si>
  <si>
    <t>Arabic translation of: product name; function; ingredient list; directions; warnings / cautions in Arabic; country of origin; manufacturer name; UAE importer name &amp; UAE address; Dubai Municipality Montaji registration / notification number. English side already satisfied by US label. Halal certification not legally mandated but commercially expected for broader UAE retail.</t>
  </si>
  <si>
    <t>❌ Cannot fully pre-print. Montaji number must appear on sticker. Arabic translation content and artwork can be fully prepared in advance — hold only the Montaji number field open. Timeline: 4–6 weeks standard; 6–10 weeks complex formulations. Print immediately upon Montaji number receipt.</t>
  </si>
  <si>
    <t>✅ Yes (language)</t>
  </si>
  <si>
    <t>Indian importer (sticker applied at bonded warehouse before customs clearance)</t>
  </si>
  <si>
    <t>Import Registration Certificate number (format: “Reg. Cert. No. RC-XXXXXXX”); Indian importer name; Indian address; importer’s drug/cosmetics licence number; “Country of Origin: Republic of Korea” if not already on US label. All in English — no translation needed.</t>
  </si>
  <si>
    <t>❌ Cannot pre-print. RC number is product-category specific and issued by CDSCO only after approval (2–3 months via SUGAM portal; delays possible from technical queries). Pre-design sticker with RC placeholder; confirm all other elements (importer details, country of origin) in advance. Print immediately upon RC number receipt.</t>
  </si>
  <si>
    <t>Same framework as DE. All mandatory consumer-facing information in Portuguese; EU RP name &amp; EU address. INCI names language-neutral. (Distinct from BR — governed by EU Reg., not ANVISA / RDC standards.)</t>
  </si>
  <si>
    <t>✅ Pre-print OK. Same as all EU markets — no product number on label. Print once Portuguese artwork finalised and EU RP appointed.</t>
  </si>
  <si>
    <t>Product name &amp; function; ingredient list in Portuguese (INCI accepted; digital QR code option under RDC 898/2024); directions; warnings / cautions in Portuguese; net quantity; expiry / PAO; batch code; country of origin; Brazilian importer name, address &amp; AFE number; ANVISA notification number (Grade I) or ANVISA registration number (Grade II).</t>
  </si>
  <si>
    <t>❌ Cannot pre-print. ANVISA number required on sticker. Grade I (lower-risk notification): number issued on filing — stickers can be printed very soon after submission. Grade II (higher-risk registration): number issued only after full ANVISA dossier review (9–18 months) — plan accordingly. AFE number (importer-specific, not product-specific) can be confirmed in advance and pre-included in draft artwork.</t>
  </si>
  <si>
    <t>Russian importer / EAEU authorised representative (applied in bonded warehouse or before customs)</t>
  </si>
  <si>
    <t>All mandatory elements in Russian: product name; purpose; manufacturer details; EAEU authorised representative name &amp; Russian/EAEU address; ingredient list; directions; warnings in Russian; net quantity; expiry; storage conditions; batch code. EAC conformity mark (ЕАС) must appear on packaging — can be incorporated into sticker.</t>
  </si>
  <si>
    <t>✅ Pre-print OK once EAEU Declaration of Conformity (DoC) is issued. EAC mark is a standardised symbol, not a unique product number — stickers are printable as soon as DoC is obtained (4–9 months for standard cosmetics). For high-risk categories requiring State Registration (SGR), confirm with EAEU representative whether SGR certificate number must appear on label before printing.</t>
  </si>
  <si>
    <t>AU</t>
  </si>
  <si>
    <t>NZ</t>
  </si>
  <si>
    <t>Asian Order 1</t>
  </si>
  <si>
    <t>ComWealth Order 1</t>
  </si>
  <si>
    <t>NorthAmerica Order 1</t>
  </si>
  <si>
    <t>PilotOrder 1 Delivered</t>
  </si>
  <si>
    <t>Europen Order 1</t>
  </si>
  <si>
    <t>Other Order 1</t>
  </si>
  <si>
    <t>Julius Kim</t>
  </si>
  <si>
    <t>Document Owner :</t>
  </si>
  <si>
    <t>Edited :</t>
  </si>
  <si>
    <t>Julius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</si>
</sst>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1" fillId="2" borderId="1" xfId="1" applyNumberFormat="1" applyFont="1" applyFill="1" applyBorder="1" applyAlignment="1">
      <alignment horizontal="center" vertical="top"/>
    </xf>
    <xf numFmtId="0" fontId="3" fillId="2" borderId="1" xfId="1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quotePrefix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4" fontId="6" fillId="0" borderId="1" xfId="1" applyNumberFormat="1" applyFont="1" applyBorder="1" applyAlignment="1">
      <alignment vertical="top"/>
    </xf>
    <xf numFmtId="164" fontId="0" fillId="3" borderId="1" xfId="1" applyNumberFormat="1" applyFont="1" applyFill="1" applyBorder="1" applyAlignment="1">
      <alignment vertical="top"/>
    </xf>
    <xf numFmtId="164" fontId="0" fillId="0" borderId="1" xfId="1" applyNumberFormat="1" applyFont="1" applyFill="1" applyBorder="1" applyAlignment="1">
      <alignment vertical="top"/>
    </xf>
    <xf numFmtId="164" fontId="0" fillId="0" borderId="1" xfId="0" applyNumberFormat="1" applyBorder="1" applyAlignment="1">
      <alignment horizontal="left" vertical="top"/>
    </xf>
    <xf numFmtId="164" fontId="0" fillId="0" borderId="1" xfId="1" applyNumberFormat="1" applyFont="1" applyBorder="1" applyAlignment="1">
      <alignment vertical="top"/>
    </xf>
    <xf numFmtId="0" fontId="0" fillId="4" borderId="1" xfId="0" applyFill="1" applyBorder="1" applyAlignment="1">
      <alignment horizontal="center" vertical="top"/>
    </xf>
    <xf numFmtId="164" fontId="0" fillId="4" borderId="1" xfId="0" applyNumberForma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4" borderId="1" xfId="0" applyFont="1" applyFill="1" applyBorder="1" applyAlignment="1">
      <alignment horizontal="center" vertical="top"/>
    </xf>
    <xf numFmtId="164" fontId="0" fillId="4" borderId="1" xfId="1" applyNumberFormat="1" applyFont="1" applyFill="1" applyBorder="1" applyAlignment="1">
      <alignment vertical="top"/>
    </xf>
    <xf numFmtId="0" fontId="0" fillId="5" borderId="1" xfId="0" applyFill="1" applyBorder="1" applyAlignment="1">
      <alignment horizontal="center" vertical="top"/>
    </xf>
    <xf numFmtId="164" fontId="0" fillId="5" borderId="1" xfId="0" applyNumberFormat="1" applyFill="1" applyBorder="1" applyAlignment="1">
      <alignment horizontal="left" vertical="top"/>
    </xf>
    <xf numFmtId="0" fontId="6" fillId="5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64" fontId="0" fillId="2" borderId="1" xfId="0" applyNumberForma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164" fontId="0" fillId="2" borderId="1" xfId="1" applyNumberFormat="1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top"/>
    </xf>
    <xf numFmtId="3" fontId="1" fillId="2" borderId="1" xfId="1" applyNumberFormat="1" applyFont="1" applyFill="1" applyBorder="1" applyAlignment="1">
      <alignment vertical="top"/>
    </xf>
    <xf numFmtId="0" fontId="2" fillId="6" borderId="1" xfId="1" applyNumberFormat="1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horizontal="center" vertical="top"/>
    </xf>
    <xf numFmtId="164" fontId="0" fillId="0" borderId="1" xfId="0" applyNumberFormat="1" applyFill="1" applyBorder="1" applyAlignment="1">
      <alignment horizontal="left" vertical="top"/>
    </xf>
    <xf numFmtId="164" fontId="0" fillId="0" borderId="1" xfId="0" applyNumberForma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3" fontId="0" fillId="0" borderId="1" xfId="0" applyNumberForma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EF98-BE55-4864-8DD6-0F4D47D3E050}">
  <dimension ref="B2:C4"/>
  <sheetViews>
    <sheetView tabSelected="1" workbookViewId="0">
      <selection activeCell="M18" sqref="M18"/>
    </sheetView>
  </sheetViews>
  <sheetFormatPr defaultRowHeight="14.4" x14ac:dyDescent="0.3"/>
  <cols>
    <col min="2" max="2" width="15.6640625" bestFit="1" customWidth="1"/>
    <col min="3" max="3" width="9.33203125" bestFit="1" customWidth="1"/>
  </cols>
  <sheetData>
    <row r="2" spans="2:3" x14ac:dyDescent="0.3">
      <c r="B2" t="s">
        <v>240</v>
      </c>
      <c r="C2" t="s">
        <v>239</v>
      </c>
    </row>
    <row r="3" spans="2:3" x14ac:dyDescent="0.3">
      <c r="B3" t="s">
        <v>241</v>
      </c>
    </row>
    <row r="4" spans="2:3" x14ac:dyDescent="0.3">
      <c r="B4" s="73">
        <v>46295</v>
      </c>
      <c r="C4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4C7B-843C-4939-824E-FB20C63F4B7A}">
  <dimension ref="A2:AM51"/>
  <sheetViews>
    <sheetView zoomScale="90" zoomScaleNormal="90" workbookViewId="0">
      <selection activeCell="AV24" sqref="AV24"/>
    </sheetView>
  </sheetViews>
  <sheetFormatPr defaultRowHeight="14.4" x14ac:dyDescent="0.3"/>
  <cols>
    <col min="1" max="1" width="12.6640625" style="8" bestFit="1" customWidth="1"/>
    <col min="2" max="2" width="6.21875" style="8" bestFit="1" customWidth="1"/>
    <col min="3" max="3" width="19" style="50" bestFit="1" customWidth="1"/>
    <col min="4" max="4" width="9.33203125" style="20" hidden="1" customWidth="1"/>
    <col min="5" max="5" width="4.6640625" style="20" bestFit="1" customWidth="1"/>
    <col min="6" max="18" width="5.5546875" style="20" bestFit="1" customWidth="1"/>
    <col min="19" max="19" width="6.6640625" style="20" bestFit="1" customWidth="1"/>
    <col min="20" max="27" width="5.5546875" style="20" bestFit="1" customWidth="1"/>
    <col min="28" max="28" width="5.5546875" style="8" bestFit="1" customWidth="1"/>
    <col min="29" max="29" width="2.77734375" style="54" customWidth="1"/>
    <col min="30" max="30" width="13.6640625" style="8" bestFit="1" customWidth="1"/>
    <col min="31" max="34" width="8.33203125" style="8" bestFit="1" customWidth="1"/>
    <col min="35" max="35" width="8.21875" style="8" bestFit="1" customWidth="1"/>
    <col min="36" max="37" width="8.33203125" style="8" bestFit="1" customWidth="1"/>
    <col min="38" max="38" width="2.77734375" style="8" customWidth="1"/>
    <col min="39" max="16384" width="8.88671875" style="8"/>
  </cols>
  <sheetData>
    <row r="2" spans="1:37" x14ac:dyDescent="0.3">
      <c r="A2" s="1" t="s">
        <v>0</v>
      </c>
      <c r="B2" s="2"/>
      <c r="C2" s="3"/>
      <c r="D2" s="4" t="s">
        <v>1</v>
      </c>
      <c r="E2" s="4" t="s">
        <v>2</v>
      </c>
      <c r="F2" s="4">
        <v>2025</v>
      </c>
      <c r="G2" s="4">
        <v>2026</v>
      </c>
      <c r="H2" s="5">
        <v>2026</v>
      </c>
      <c r="I2" s="5">
        <v>2026</v>
      </c>
      <c r="J2" s="5">
        <v>2026</v>
      </c>
      <c r="K2" s="5">
        <v>2026</v>
      </c>
      <c r="L2" s="5">
        <v>2026</v>
      </c>
      <c r="M2" s="5">
        <v>2026</v>
      </c>
      <c r="N2" s="6">
        <v>2026</v>
      </c>
      <c r="O2" s="5">
        <v>2026</v>
      </c>
      <c r="P2" s="5">
        <v>2026</v>
      </c>
      <c r="Q2" s="5">
        <v>2027</v>
      </c>
      <c r="R2" s="5">
        <v>2027</v>
      </c>
      <c r="S2" s="5">
        <v>2027</v>
      </c>
      <c r="T2" s="5">
        <v>2027</v>
      </c>
      <c r="U2" s="5">
        <v>2027</v>
      </c>
      <c r="V2" s="5">
        <v>2027</v>
      </c>
      <c r="W2" s="5">
        <v>2027</v>
      </c>
      <c r="X2" s="5">
        <v>2027</v>
      </c>
      <c r="Y2" s="5">
        <v>2027</v>
      </c>
      <c r="Z2" s="5">
        <v>2027</v>
      </c>
      <c r="AA2" s="5">
        <v>2027</v>
      </c>
      <c r="AB2" s="5">
        <v>2027</v>
      </c>
      <c r="AC2" s="53"/>
      <c r="AD2" s="1" t="s">
        <v>3</v>
      </c>
      <c r="AE2" s="7"/>
      <c r="AF2" s="7"/>
      <c r="AG2" s="7"/>
      <c r="AH2" s="7"/>
      <c r="AI2" s="7"/>
      <c r="AJ2" s="7"/>
      <c r="AK2" s="7"/>
    </row>
    <row r="3" spans="1:37" x14ac:dyDescent="0.3">
      <c r="A3" s="7"/>
      <c r="B3" s="4"/>
      <c r="C3" s="9"/>
      <c r="D3" s="4" t="s">
        <v>4</v>
      </c>
      <c r="E3" s="4" t="s">
        <v>5</v>
      </c>
      <c r="F3" s="4" t="s">
        <v>6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10" t="s">
        <v>13</v>
      </c>
      <c r="O3" s="4" t="s">
        <v>14</v>
      </c>
      <c r="P3" s="4" t="s">
        <v>15</v>
      </c>
      <c r="Q3" s="4" t="s">
        <v>16</v>
      </c>
      <c r="R3" s="4" t="s">
        <v>6</v>
      </c>
      <c r="S3" s="4" t="s">
        <v>17</v>
      </c>
      <c r="T3" s="4" t="s">
        <v>7</v>
      </c>
      <c r="U3" s="4" t="s">
        <v>8</v>
      </c>
      <c r="V3" s="4" t="s">
        <v>9</v>
      </c>
      <c r="W3" s="4" t="s">
        <v>10</v>
      </c>
      <c r="X3" s="4" t="s">
        <v>11</v>
      </c>
      <c r="Y3" s="4" t="s">
        <v>12</v>
      </c>
      <c r="Z3" s="4" t="s">
        <v>13</v>
      </c>
      <c r="AA3" s="4" t="s">
        <v>14</v>
      </c>
      <c r="AB3" s="4" t="s">
        <v>15</v>
      </c>
      <c r="AD3" s="11" t="s">
        <v>18</v>
      </c>
      <c r="AE3" s="11" t="s">
        <v>19</v>
      </c>
      <c r="AF3" s="11" t="s">
        <v>20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</row>
    <row r="4" spans="1:37" x14ac:dyDescent="0.3">
      <c r="A4" s="12" t="s">
        <v>26</v>
      </c>
      <c r="B4" s="13"/>
      <c r="C4" s="14"/>
      <c r="D4" s="12"/>
      <c r="E4" s="13"/>
      <c r="F4" s="13" t="s">
        <v>27</v>
      </c>
      <c r="G4" s="13" t="s">
        <v>28</v>
      </c>
      <c r="H4" s="13" t="s">
        <v>29</v>
      </c>
      <c r="I4" s="13" t="s">
        <v>30</v>
      </c>
      <c r="J4" s="13" t="s">
        <v>31</v>
      </c>
      <c r="K4" s="13"/>
      <c r="L4" s="13"/>
      <c r="M4" s="13" t="s">
        <v>32</v>
      </c>
      <c r="N4" s="13"/>
      <c r="O4" s="15" t="s">
        <v>33</v>
      </c>
      <c r="P4" s="15"/>
      <c r="Q4" s="15" t="s">
        <v>34</v>
      </c>
      <c r="R4" s="15"/>
      <c r="S4" s="15" t="s">
        <v>35</v>
      </c>
      <c r="T4" s="15"/>
      <c r="U4" s="15" t="s">
        <v>36</v>
      </c>
      <c r="V4" s="15"/>
      <c r="W4" s="15" t="s">
        <v>37</v>
      </c>
      <c r="X4" s="15"/>
      <c r="Y4" s="15" t="s">
        <v>38</v>
      </c>
      <c r="Z4" s="15"/>
      <c r="AA4" s="15" t="s">
        <v>39</v>
      </c>
      <c r="AB4" s="13"/>
      <c r="AD4" s="16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</row>
    <row r="5" spans="1:37" x14ac:dyDescent="0.3">
      <c r="A5" s="8" t="s">
        <v>41</v>
      </c>
      <c r="B5" s="18" t="s">
        <v>42</v>
      </c>
      <c r="C5" s="19" t="s">
        <v>43</v>
      </c>
      <c r="D5" s="17">
        <v>48000</v>
      </c>
      <c r="E5" s="20">
        <v>4</v>
      </c>
      <c r="J5" s="20" t="s">
        <v>44</v>
      </c>
      <c r="N5" s="20" t="s">
        <v>45</v>
      </c>
      <c r="Q5" s="21" t="s">
        <v>32</v>
      </c>
      <c r="R5" s="21"/>
      <c r="S5" s="21" t="s">
        <v>33</v>
      </c>
      <c r="T5" s="21"/>
      <c r="U5" s="21" t="s">
        <v>34</v>
      </c>
      <c r="V5" s="21"/>
      <c r="W5" s="21" t="s">
        <v>35</v>
      </c>
      <c r="X5" s="21"/>
      <c r="Y5" s="21" t="s">
        <v>36</v>
      </c>
      <c r="Z5" s="21"/>
      <c r="AA5" s="21" t="s">
        <v>37</v>
      </c>
      <c r="AB5" s="20"/>
      <c r="AC5" s="55"/>
      <c r="AD5" s="22">
        <v>10000</v>
      </c>
      <c r="AE5" s="23">
        <v>10000</v>
      </c>
      <c r="AF5" s="23">
        <v>15000</v>
      </c>
      <c r="AG5" s="23">
        <v>12000</v>
      </c>
      <c r="AH5" s="24"/>
      <c r="AI5" s="23">
        <v>8000</v>
      </c>
      <c r="AJ5" s="23">
        <v>15000</v>
      </c>
      <c r="AK5" s="23">
        <v>12000</v>
      </c>
    </row>
    <row r="6" spans="1:37" x14ac:dyDescent="0.3">
      <c r="A6" s="8" t="s">
        <v>41</v>
      </c>
      <c r="B6" s="20" t="s">
        <v>47</v>
      </c>
      <c r="C6" s="25" t="s">
        <v>48</v>
      </c>
      <c r="D6" s="17">
        <v>24000</v>
      </c>
      <c r="E6" s="20">
        <v>2</v>
      </c>
      <c r="M6" s="20" t="s">
        <v>49</v>
      </c>
      <c r="Q6" s="21" t="s">
        <v>32</v>
      </c>
      <c r="R6" s="21"/>
      <c r="S6" s="21" t="s">
        <v>33</v>
      </c>
      <c r="T6" s="21"/>
      <c r="U6" s="21" t="s">
        <v>34</v>
      </c>
      <c r="V6" s="21"/>
      <c r="W6" s="21" t="s">
        <v>35</v>
      </c>
      <c r="X6" s="21"/>
      <c r="Y6" s="21" t="s">
        <v>36</v>
      </c>
      <c r="Z6" s="21"/>
      <c r="AA6" s="21" t="s">
        <v>37</v>
      </c>
      <c r="AB6" s="20"/>
      <c r="AC6" s="55"/>
      <c r="AD6" s="22">
        <v>10000</v>
      </c>
      <c r="AE6" s="26">
        <v>5000</v>
      </c>
      <c r="AF6" s="26">
        <v>5000</v>
      </c>
      <c r="AG6" s="26">
        <v>5000</v>
      </c>
      <c r="AH6" s="26"/>
      <c r="AI6" s="26">
        <v>5000</v>
      </c>
      <c r="AJ6" s="26">
        <v>5000</v>
      </c>
      <c r="AK6" s="26">
        <v>5000</v>
      </c>
    </row>
    <row r="7" spans="1:37" x14ac:dyDescent="0.3">
      <c r="A7" s="8" t="s">
        <v>51</v>
      </c>
      <c r="B7" s="27" t="s">
        <v>52</v>
      </c>
      <c r="C7" s="28" t="s">
        <v>53</v>
      </c>
      <c r="D7" s="17">
        <v>300</v>
      </c>
      <c r="E7" s="20">
        <v>3</v>
      </c>
      <c r="N7" s="27"/>
      <c r="O7" s="27"/>
      <c r="P7" s="27"/>
      <c r="Q7" s="29" t="s">
        <v>52</v>
      </c>
      <c r="AB7" s="20"/>
      <c r="AD7" s="30" t="s">
        <v>54</v>
      </c>
    </row>
    <row r="8" spans="1:37" x14ac:dyDescent="0.3">
      <c r="B8" s="27"/>
      <c r="C8" s="28"/>
      <c r="D8" s="17"/>
      <c r="N8" s="27"/>
      <c r="O8" s="27"/>
      <c r="P8" s="27"/>
      <c r="Q8" s="29"/>
      <c r="AB8" s="20"/>
      <c r="AD8" s="30"/>
    </row>
    <row r="9" spans="1:37" x14ac:dyDescent="0.3">
      <c r="A9" s="12" t="s">
        <v>26</v>
      </c>
      <c r="B9" s="13"/>
      <c r="C9" s="31"/>
      <c r="D9" s="3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 t="s">
        <v>56</v>
      </c>
      <c r="R9" s="15"/>
      <c r="S9" s="15"/>
      <c r="T9" s="15"/>
      <c r="U9" s="15"/>
      <c r="V9" s="15"/>
      <c r="W9" s="15" t="s">
        <v>57</v>
      </c>
      <c r="X9" s="15"/>
      <c r="Y9" s="15"/>
      <c r="Z9" s="15"/>
      <c r="AA9" s="15"/>
      <c r="AB9" s="15"/>
      <c r="AC9" s="56"/>
      <c r="AE9" s="13" t="s">
        <v>56</v>
      </c>
      <c r="AF9" s="13"/>
      <c r="AG9" s="13"/>
      <c r="AH9" s="13"/>
      <c r="AI9" s="13" t="s">
        <v>57</v>
      </c>
      <c r="AJ9" s="13"/>
    </row>
    <row r="10" spans="1:37" x14ac:dyDescent="0.3">
      <c r="A10" s="8" t="s">
        <v>59</v>
      </c>
      <c r="B10" s="18" t="s">
        <v>60</v>
      </c>
      <c r="C10" s="19" t="s">
        <v>43</v>
      </c>
      <c r="D10" s="17">
        <v>3600</v>
      </c>
      <c r="E10" s="20">
        <v>3</v>
      </c>
      <c r="N10" s="18"/>
      <c r="O10" s="18"/>
      <c r="P10" s="18"/>
      <c r="Q10" s="33" t="s">
        <v>60</v>
      </c>
      <c r="R10" s="21"/>
      <c r="S10" s="21"/>
      <c r="T10" s="21"/>
      <c r="U10" s="21" t="s">
        <v>56</v>
      </c>
      <c r="V10" s="21"/>
      <c r="W10" s="21"/>
      <c r="X10" s="21"/>
      <c r="Y10" s="21"/>
      <c r="Z10" s="21"/>
      <c r="AA10" s="21" t="s">
        <v>57</v>
      </c>
      <c r="AB10" s="21"/>
      <c r="AC10" s="55"/>
      <c r="AE10" s="23">
        <v>1500</v>
      </c>
      <c r="AF10" s="17"/>
      <c r="AG10" s="34"/>
      <c r="AH10" s="34"/>
      <c r="AI10" s="35">
        <v>1500</v>
      </c>
      <c r="AJ10" s="34"/>
      <c r="AK10" s="34"/>
    </row>
    <row r="11" spans="1:37" x14ac:dyDescent="0.3">
      <c r="A11" s="8" t="s">
        <v>59</v>
      </c>
      <c r="B11" s="18" t="s">
        <v>62</v>
      </c>
      <c r="C11" s="19" t="s">
        <v>43</v>
      </c>
      <c r="D11" s="17">
        <v>1200</v>
      </c>
      <c r="E11" s="20">
        <v>2</v>
      </c>
      <c r="N11" s="18"/>
      <c r="O11" s="18"/>
      <c r="P11" s="18"/>
      <c r="Q11" s="33" t="s">
        <v>62</v>
      </c>
      <c r="R11" s="21"/>
      <c r="S11" s="21"/>
      <c r="T11" s="21"/>
      <c r="U11" s="21" t="s">
        <v>56</v>
      </c>
      <c r="V11" s="21"/>
      <c r="W11" s="21"/>
      <c r="X11" s="21"/>
      <c r="Y11" s="21"/>
      <c r="Z11" s="21"/>
      <c r="AA11" s="21" t="s">
        <v>57</v>
      </c>
      <c r="AB11" s="21"/>
      <c r="AC11" s="55"/>
      <c r="AE11" s="23">
        <v>1000</v>
      </c>
      <c r="AF11" s="17"/>
      <c r="AI11" s="36">
        <v>1000</v>
      </c>
    </row>
    <row r="12" spans="1:37" x14ac:dyDescent="0.3">
      <c r="A12" s="8" t="s">
        <v>59</v>
      </c>
      <c r="B12" s="27" t="s">
        <v>64</v>
      </c>
      <c r="C12" s="28" t="s">
        <v>65</v>
      </c>
      <c r="D12" s="17">
        <v>1800</v>
      </c>
      <c r="E12" s="20">
        <v>3</v>
      </c>
      <c r="N12" s="27"/>
      <c r="O12" s="27"/>
      <c r="P12" s="27"/>
      <c r="Q12" s="37" t="s">
        <v>64</v>
      </c>
      <c r="R12" s="21"/>
      <c r="S12" s="21"/>
      <c r="T12" s="21"/>
      <c r="U12" s="21" t="s">
        <v>56</v>
      </c>
      <c r="V12" s="21"/>
      <c r="W12" s="21"/>
      <c r="X12" s="21"/>
      <c r="Y12" s="21"/>
      <c r="Z12" s="21"/>
      <c r="AA12" s="21" t="s">
        <v>57</v>
      </c>
      <c r="AB12" s="21"/>
      <c r="AC12" s="55"/>
      <c r="AE12" s="38">
        <v>1000</v>
      </c>
      <c r="AF12" s="30" t="s">
        <v>54</v>
      </c>
      <c r="AI12" s="30">
        <v>1000</v>
      </c>
      <c r="AJ12" s="30" t="s">
        <v>54</v>
      </c>
    </row>
    <row r="13" spans="1:37" x14ac:dyDescent="0.3">
      <c r="A13" s="8" t="s">
        <v>59</v>
      </c>
      <c r="B13" s="18" t="s">
        <v>67</v>
      </c>
      <c r="C13" s="19" t="s">
        <v>43</v>
      </c>
      <c r="D13" s="17">
        <v>1200</v>
      </c>
      <c r="E13" s="20">
        <v>2</v>
      </c>
      <c r="N13" s="18"/>
      <c r="O13" s="18"/>
      <c r="P13" s="18"/>
      <c r="Q13" s="33" t="s">
        <v>67</v>
      </c>
      <c r="R13" s="21"/>
      <c r="S13" s="21"/>
      <c r="T13" s="21"/>
      <c r="U13" s="21" t="s">
        <v>56</v>
      </c>
      <c r="V13" s="21"/>
      <c r="W13" s="21"/>
      <c r="X13" s="21"/>
      <c r="Y13" s="21"/>
      <c r="Z13" s="21"/>
      <c r="AA13" s="21" t="s">
        <v>57</v>
      </c>
      <c r="AB13" s="21"/>
      <c r="AC13" s="55"/>
      <c r="AE13" s="23">
        <v>1000</v>
      </c>
      <c r="AI13" s="36">
        <v>500</v>
      </c>
    </row>
    <row r="14" spans="1:37" x14ac:dyDescent="0.3">
      <c r="A14" s="8" t="s">
        <v>59</v>
      </c>
      <c r="B14" s="18" t="s">
        <v>69</v>
      </c>
      <c r="C14" s="19" t="s">
        <v>43</v>
      </c>
      <c r="D14" s="17">
        <v>600</v>
      </c>
      <c r="E14" s="20">
        <v>3</v>
      </c>
      <c r="N14" s="18"/>
      <c r="O14" s="18"/>
      <c r="P14" s="18"/>
      <c r="Q14" s="33" t="s">
        <v>69</v>
      </c>
      <c r="R14" s="21"/>
      <c r="S14" s="21"/>
      <c r="T14" s="21"/>
      <c r="U14" s="21" t="s">
        <v>56</v>
      </c>
      <c r="V14" s="21"/>
      <c r="W14" s="21"/>
      <c r="X14" s="21"/>
      <c r="Y14" s="21"/>
      <c r="Z14" s="21"/>
      <c r="AA14" s="21" t="s">
        <v>57</v>
      </c>
      <c r="AB14" s="21"/>
      <c r="AC14" s="55"/>
      <c r="AE14" s="23">
        <v>500</v>
      </c>
      <c r="AI14" s="36"/>
    </row>
    <row r="15" spans="1:37" x14ac:dyDescent="0.3">
      <c r="A15" s="8" t="s">
        <v>71</v>
      </c>
      <c r="B15" s="39" t="s">
        <v>72</v>
      </c>
      <c r="C15" s="40" t="s">
        <v>73</v>
      </c>
      <c r="D15" s="17"/>
      <c r="E15" s="20">
        <v>4</v>
      </c>
      <c r="N15" s="39"/>
      <c r="O15" s="39"/>
      <c r="P15" s="39"/>
      <c r="Q15" s="41" t="s">
        <v>72</v>
      </c>
      <c r="R15" s="21"/>
      <c r="S15" s="21"/>
      <c r="T15" s="21"/>
      <c r="U15" s="21" t="s">
        <v>56</v>
      </c>
      <c r="V15" s="21"/>
      <c r="W15" s="21"/>
      <c r="X15" s="21"/>
      <c r="Y15" s="21"/>
      <c r="Z15" s="21"/>
      <c r="AA15" s="21" t="s">
        <v>57</v>
      </c>
      <c r="AB15" s="21"/>
      <c r="AC15" s="55"/>
    </row>
    <row r="16" spans="1:37" x14ac:dyDescent="0.3">
      <c r="A16" s="8" t="s">
        <v>71</v>
      </c>
      <c r="B16" s="27" t="s">
        <v>75</v>
      </c>
      <c r="C16" s="28" t="s">
        <v>76</v>
      </c>
      <c r="D16" s="17"/>
      <c r="E16" s="20">
        <v>2</v>
      </c>
      <c r="N16" s="27"/>
      <c r="O16" s="27"/>
      <c r="P16" s="27"/>
      <c r="Q16" s="42" t="s">
        <v>75</v>
      </c>
      <c r="R16" s="21"/>
      <c r="S16" s="21"/>
      <c r="T16" s="21"/>
      <c r="U16" s="21" t="s">
        <v>56</v>
      </c>
      <c r="V16" s="21"/>
      <c r="W16" s="21"/>
      <c r="X16" s="21"/>
      <c r="Y16" s="21"/>
      <c r="Z16" s="21"/>
      <c r="AA16" s="21" t="s">
        <v>57</v>
      </c>
      <c r="AB16" s="21"/>
      <c r="AC16" s="55"/>
    </row>
    <row r="17" spans="1:37" x14ac:dyDescent="0.3">
      <c r="A17" s="8" t="s">
        <v>78</v>
      </c>
      <c r="B17" s="39" t="s">
        <v>79</v>
      </c>
      <c r="C17" s="40" t="s">
        <v>80</v>
      </c>
      <c r="D17" s="17"/>
      <c r="N17" s="39"/>
      <c r="O17" s="39"/>
      <c r="P17" s="39"/>
      <c r="Q17" s="41" t="s">
        <v>79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spans="1:37" s="57" customFormat="1" x14ac:dyDescent="0.3">
      <c r="B18" s="58"/>
      <c r="C18" s="59"/>
      <c r="D18" s="60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61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37" x14ac:dyDescent="0.3">
      <c r="A19" s="12" t="s">
        <v>26</v>
      </c>
      <c r="B19" s="20"/>
      <c r="C19" s="25"/>
      <c r="D19" s="17"/>
      <c r="Q19" s="21"/>
      <c r="R19" s="21"/>
      <c r="S19" s="15" t="s">
        <v>81</v>
      </c>
      <c r="T19" s="15"/>
      <c r="U19" s="15"/>
      <c r="V19" s="15"/>
      <c r="W19" s="15" t="s">
        <v>82</v>
      </c>
      <c r="X19" s="15"/>
      <c r="Y19" s="15"/>
      <c r="Z19" s="15"/>
      <c r="AA19" s="15" t="s">
        <v>83</v>
      </c>
      <c r="AB19" s="21"/>
      <c r="AG19" s="13" t="s">
        <v>81</v>
      </c>
      <c r="AH19" s="13"/>
      <c r="AI19" s="13" t="s">
        <v>82</v>
      </c>
      <c r="AJ19" s="13"/>
      <c r="AK19" s="13" t="s">
        <v>84</v>
      </c>
    </row>
    <row r="20" spans="1:37" x14ac:dyDescent="0.3">
      <c r="A20" s="8" t="s">
        <v>86</v>
      </c>
      <c r="B20" s="18" t="s">
        <v>87</v>
      </c>
      <c r="C20" s="19" t="s">
        <v>43</v>
      </c>
      <c r="D20" s="17">
        <v>3600</v>
      </c>
      <c r="E20" s="20">
        <v>4</v>
      </c>
      <c r="N20" s="18"/>
      <c r="O20" s="18"/>
      <c r="P20" s="18"/>
      <c r="Q20" s="43"/>
      <c r="R20" s="43"/>
      <c r="S20" s="33" t="s">
        <v>87</v>
      </c>
      <c r="T20" s="21"/>
      <c r="U20" s="21"/>
      <c r="V20" s="21"/>
      <c r="W20" s="21" t="s">
        <v>81</v>
      </c>
      <c r="X20" s="21"/>
      <c r="Y20" s="21"/>
      <c r="Z20" s="21"/>
      <c r="AA20" s="21" t="s">
        <v>82</v>
      </c>
      <c r="AB20" s="21"/>
      <c r="AG20" s="35">
        <v>1000</v>
      </c>
      <c r="AH20" s="34"/>
      <c r="AI20" s="35">
        <v>1000</v>
      </c>
      <c r="AJ20" s="34"/>
      <c r="AK20" s="35">
        <v>1000</v>
      </c>
    </row>
    <row r="21" spans="1:37" x14ac:dyDescent="0.3">
      <c r="A21" s="8" t="s">
        <v>86</v>
      </c>
      <c r="B21" s="18" t="s">
        <v>89</v>
      </c>
      <c r="C21" s="19" t="s">
        <v>43</v>
      </c>
      <c r="D21" s="17">
        <v>6000</v>
      </c>
      <c r="E21" s="20">
        <v>3</v>
      </c>
      <c r="N21" s="18"/>
      <c r="O21" s="18"/>
      <c r="P21" s="18"/>
      <c r="Q21" s="43"/>
      <c r="R21" s="43"/>
      <c r="S21" s="33" t="s">
        <v>89</v>
      </c>
      <c r="T21" s="21"/>
      <c r="U21" s="21"/>
      <c r="V21" s="21"/>
      <c r="W21" s="21" t="s">
        <v>81</v>
      </c>
      <c r="X21" s="21"/>
      <c r="Y21" s="21"/>
      <c r="Z21" s="21"/>
      <c r="AA21" s="21" t="s">
        <v>82</v>
      </c>
      <c r="AB21" s="21"/>
      <c r="AG21" s="35">
        <v>2000</v>
      </c>
      <c r="AI21" s="35">
        <v>2000</v>
      </c>
      <c r="AK21" s="35">
        <v>2000</v>
      </c>
    </row>
    <row r="22" spans="1:37" s="57" customFormat="1" x14ac:dyDescent="0.3">
      <c r="B22" s="58"/>
      <c r="C22" s="59"/>
      <c r="D22" s="60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62"/>
      <c r="R22" s="62"/>
      <c r="S22" s="63"/>
      <c r="T22" s="62"/>
      <c r="U22" s="62"/>
      <c r="V22" s="62"/>
      <c r="W22" s="62"/>
      <c r="X22" s="62"/>
      <c r="Y22" s="62"/>
      <c r="Z22" s="62"/>
      <c r="AA22" s="62"/>
      <c r="AB22" s="62"/>
      <c r="AG22" s="64"/>
      <c r="AI22" s="64"/>
      <c r="AK22" s="64"/>
    </row>
    <row r="23" spans="1:37" x14ac:dyDescent="0.3">
      <c r="A23" s="12" t="s">
        <v>26</v>
      </c>
      <c r="B23" s="20"/>
      <c r="C23" s="25"/>
      <c r="D23" s="17"/>
      <c r="Q23" s="21"/>
      <c r="R23" s="21"/>
      <c r="S23" s="21"/>
      <c r="T23" s="21"/>
      <c r="U23" s="15" t="s">
        <v>91</v>
      </c>
      <c r="V23" s="15"/>
      <c r="W23" s="15"/>
      <c r="X23" s="15"/>
      <c r="Y23" s="15"/>
      <c r="Z23" s="15"/>
      <c r="AA23" s="15"/>
      <c r="AB23" s="21"/>
      <c r="AH23" s="13" t="s">
        <v>91</v>
      </c>
      <c r="AI23" s="13"/>
      <c r="AJ23" s="13"/>
      <c r="AK23" s="13"/>
    </row>
    <row r="24" spans="1:37" x14ac:dyDescent="0.3">
      <c r="A24" s="8" t="s">
        <v>93</v>
      </c>
      <c r="B24" s="4" t="s">
        <v>94</v>
      </c>
      <c r="C24" s="44" t="s">
        <v>95</v>
      </c>
      <c r="D24" s="17">
        <v>12000</v>
      </c>
      <c r="E24" s="20">
        <v>6</v>
      </c>
      <c r="N24" s="4"/>
      <c r="O24" s="4"/>
      <c r="P24" s="4"/>
      <c r="Q24" s="45"/>
      <c r="R24" s="45"/>
      <c r="S24" s="45"/>
      <c r="T24" s="45"/>
      <c r="U24" s="10" t="s">
        <v>94</v>
      </c>
      <c r="V24" s="21"/>
      <c r="W24" s="21"/>
      <c r="X24" s="21"/>
      <c r="Y24" s="21" t="s">
        <v>91</v>
      </c>
      <c r="Z24" s="21"/>
      <c r="AA24" s="21"/>
      <c r="AB24" s="21"/>
      <c r="AF24" s="17"/>
      <c r="AH24" s="46">
        <v>10000</v>
      </c>
      <c r="AI24" s="17"/>
      <c r="AJ24" s="17"/>
      <c r="AK24" s="17"/>
    </row>
    <row r="25" spans="1:37" x14ac:dyDescent="0.3">
      <c r="A25" s="8" t="s">
        <v>93</v>
      </c>
      <c r="B25" s="27" t="s">
        <v>97</v>
      </c>
      <c r="C25" s="28" t="s">
        <v>98</v>
      </c>
      <c r="D25" s="17">
        <v>3600</v>
      </c>
      <c r="E25" s="20">
        <v>6</v>
      </c>
      <c r="N25" s="27"/>
      <c r="O25" s="27"/>
      <c r="P25" s="27"/>
      <c r="Q25" s="47"/>
      <c r="R25" s="47"/>
      <c r="S25" s="47"/>
      <c r="T25" s="47"/>
      <c r="U25" s="37" t="s">
        <v>97</v>
      </c>
      <c r="V25" s="21"/>
      <c r="W25" s="21"/>
      <c r="X25" s="21"/>
      <c r="Y25" s="21" t="s">
        <v>91</v>
      </c>
      <c r="Z25" s="21"/>
      <c r="AA25" s="21"/>
      <c r="AB25" s="21"/>
      <c r="AH25" s="38">
        <v>3000</v>
      </c>
      <c r="AI25" s="30" t="s">
        <v>54</v>
      </c>
    </row>
    <row r="26" spans="1:37" x14ac:dyDescent="0.3">
      <c r="A26" s="8" t="s">
        <v>93</v>
      </c>
      <c r="B26" s="27" t="s">
        <v>100</v>
      </c>
      <c r="C26" s="28" t="s">
        <v>101</v>
      </c>
      <c r="D26" s="17">
        <v>2400</v>
      </c>
      <c r="E26" s="20">
        <v>6</v>
      </c>
      <c r="N26" s="27"/>
      <c r="O26" s="27"/>
      <c r="P26" s="27"/>
      <c r="Q26" s="47"/>
      <c r="R26" s="47"/>
      <c r="S26" s="47"/>
      <c r="T26" s="47"/>
      <c r="U26" s="37" t="s">
        <v>100</v>
      </c>
      <c r="V26" s="21"/>
      <c r="W26" s="21"/>
      <c r="X26" s="21"/>
      <c r="Y26" s="21" t="s">
        <v>91</v>
      </c>
      <c r="Z26" s="21"/>
      <c r="AA26" s="21"/>
      <c r="AB26" s="21"/>
      <c r="AH26" s="38">
        <v>2000</v>
      </c>
      <c r="AI26" s="30" t="s">
        <v>54</v>
      </c>
    </row>
    <row r="27" spans="1:37" x14ac:dyDescent="0.3">
      <c r="A27" s="8" t="s">
        <v>93</v>
      </c>
      <c r="B27" s="27" t="s">
        <v>103</v>
      </c>
      <c r="C27" s="28" t="s">
        <v>104</v>
      </c>
      <c r="D27" s="17">
        <v>1200</v>
      </c>
      <c r="E27" s="20">
        <v>6</v>
      </c>
      <c r="N27" s="27"/>
      <c r="O27" s="27"/>
      <c r="P27" s="27"/>
      <c r="Q27" s="47"/>
      <c r="R27" s="47"/>
      <c r="S27" s="47"/>
      <c r="T27" s="47"/>
      <c r="U27" s="37" t="s">
        <v>103</v>
      </c>
      <c r="V27" s="21"/>
      <c r="W27" s="21"/>
      <c r="X27" s="21"/>
      <c r="Y27" s="21" t="s">
        <v>91</v>
      </c>
      <c r="Z27" s="21"/>
      <c r="AA27" s="21"/>
      <c r="AB27" s="21"/>
      <c r="AH27" s="38">
        <v>2000</v>
      </c>
      <c r="AI27" s="30" t="s">
        <v>54</v>
      </c>
    </row>
    <row r="28" spans="1:37" x14ac:dyDescent="0.3">
      <c r="A28" s="8" t="s">
        <v>71</v>
      </c>
      <c r="B28" s="27" t="s">
        <v>106</v>
      </c>
      <c r="C28" s="28" t="s">
        <v>107</v>
      </c>
      <c r="D28" s="17">
        <v>1200</v>
      </c>
      <c r="E28" s="20">
        <v>6</v>
      </c>
      <c r="N28" s="27"/>
      <c r="O28" s="27"/>
      <c r="P28" s="27"/>
      <c r="Q28" s="47"/>
      <c r="R28" s="47"/>
      <c r="S28" s="47"/>
      <c r="T28" s="47"/>
      <c r="U28" s="37" t="s">
        <v>106</v>
      </c>
      <c r="V28" s="21"/>
      <c r="W28" s="21"/>
      <c r="X28" s="21"/>
      <c r="Y28" s="21" t="s">
        <v>91</v>
      </c>
      <c r="Z28" s="21"/>
      <c r="AA28" s="21"/>
      <c r="AB28" s="21"/>
      <c r="AH28" s="38">
        <v>1000</v>
      </c>
      <c r="AI28" s="30" t="s">
        <v>54</v>
      </c>
    </row>
    <row r="29" spans="1:37" x14ac:dyDescent="0.3">
      <c r="A29" s="8" t="s">
        <v>93</v>
      </c>
      <c r="B29" s="27" t="s">
        <v>109</v>
      </c>
      <c r="C29" s="28" t="s">
        <v>110</v>
      </c>
      <c r="D29" s="17"/>
      <c r="E29" s="20">
        <v>6</v>
      </c>
      <c r="N29" s="39"/>
      <c r="O29" s="39"/>
      <c r="P29" s="39"/>
      <c r="Q29" s="48"/>
      <c r="R29" s="48"/>
      <c r="S29" s="48"/>
      <c r="T29" s="48"/>
      <c r="U29" s="41" t="s">
        <v>111</v>
      </c>
      <c r="V29" s="21"/>
      <c r="W29" s="21"/>
      <c r="X29" s="21"/>
      <c r="Y29" s="21"/>
      <c r="Z29" s="21"/>
      <c r="AA29" s="21"/>
      <c r="AB29" s="21"/>
      <c r="AH29" s="26"/>
    </row>
    <row r="30" spans="1:37" x14ac:dyDescent="0.3">
      <c r="A30" s="8" t="s">
        <v>59</v>
      </c>
      <c r="B30" s="39" t="s">
        <v>111</v>
      </c>
      <c r="C30" s="40" t="s">
        <v>113</v>
      </c>
      <c r="D30" s="17"/>
      <c r="E30" s="20">
        <v>6</v>
      </c>
      <c r="N30" s="39"/>
      <c r="O30" s="39"/>
      <c r="P30" s="39"/>
      <c r="Q30" s="48"/>
      <c r="R30" s="48"/>
      <c r="S30" s="48"/>
      <c r="T30" s="48"/>
      <c r="U30" s="41" t="s">
        <v>114</v>
      </c>
      <c r="V30" s="21"/>
      <c r="W30" s="21"/>
      <c r="X30" s="21"/>
      <c r="Y30" s="21"/>
      <c r="Z30" s="21"/>
      <c r="AA30" s="21"/>
      <c r="AB30" s="21"/>
      <c r="AH30" s="26"/>
    </row>
    <row r="31" spans="1:37" x14ac:dyDescent="0.3">
      <c r="A31" s="8" t="s">
        <v>78</v>
      </c>
      <c r="B31" s="39" t="s">
        <v>114</v>
      </c>
      <c r="C31" s="40" t="s">
        <v>116</v>
      </c>
      <c r="D31" s="17"/>
      <c r="E31" s="20">
        <v>6</v>
      </c>
      <c r="N31" s="27"/>
      <c r="O31" s="27"/>
      <c r="P31" s="27"/>
      <c r="Q31" s="47"/>
      <c r="R31" s="47"/>
      <c r="S31" s="47"/>
      <c r="T31" s="47"/>
      <c r="U31" s="42" t="s">
        <v>117</v>
      </c>
      <c r="V31" s="21"/>
      <c r="W31" s="21"/>
      <c r="X31" s="21"/>
      <c r="Y31" s="21"/>
      <c r="Z31" s="21"/>
      <c r="AA31" s="21"/>
      <c r="AB31" s="21"/>
    </row>
    <row r="32" spans="1:37" x14ac:dyDescent="0.3">
      <c r="A32" s="8" t="s">
        <v>78</v>
      </c>
      <c r="B32" s="27" t="s">
        <v>117</v>
      </c>
      <c r="C32" s="28" t="s">
        <v>119</v>
      </c>
      <c r="D32" s="17"/>
      <c r="E32" s="20">
        <v>5</v>
      </c>
      <c r="Q32" s="21"/>
      <c r="R32" s="21"/>
      <c r="S32" s="21"/>
      <c r="T32" s="21"/>
      <c r="U32" s="49"/>
      <c r="V32" s="21"/>
      <c r="W32" s="21"/>
      <c r="X32" s="21"/>
      <c r="Y32" s="21"/>
      <c r="Z32" s="21"/>
      <c r="AA32" s="21"/>
      <c r="AB32" s="21"/>
    </row>
    <row r="33" spans="1:39" s="57" customFormat="1" x14ac:dyDescent="0.3">
      <c r="B33" s="58"/>
      <c r="C33" s="59"/>
      <c r="D33" s="60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62"/>
      <c r="S33" s="62"/>
      <c r="T33" s="62"/>
      <c r="U33" s="61"/>
      <c r="V33" s="62"/>
      <c r="W33" s="62"/>
      <c r="X33" s="62"/>
      <c r="Y33" s="62"/>
      <c r="Z33" s="62"/>
      <c r="AA33" s="62"/>
      <c r="AB33" s="62"/>
    </row>
    <row r="34" spans="1:39" x14ac:dyDescent="0.3">
      <c r="A34" s="12" t="s">
        <v>26</v>
      </c>
      <c r="B34" s="13"/>
      <c r="C34" s="31"/>
      <c r="D34" s="3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5"/>
      <c r="R34" s="15"/>
      <c r="S34" s="15"/>
      <c r="T34" s="15"/>
      <c r="U34" s="15"/>
      <c r="V34" s="15"/>
      <c r="W34" s="15" t="s">
        <v>120</v>
      </c>
      <c r="X34" s="15"/>
      <c r="Y34" s="15"/>
      <c r="Z34" s="15"/>
      <c r="AA34" s="15"/>
      <c r="AB34" s="15"/>
      <c r="AC34" s="56"/>
      <c r="AD34" s="12"/>
      <c r="AE34" s="12"/>
      <c r="AF34" s="12"/>
      <c r="AG34" s="12"/>
      <c r="AH34" s="13" t="s">
        <v>120</v>
      </c>
      <c r="AI34" s="13"/>
      <c r="AJ34" s="13"/>
      <c r="AK34" s="13"/>
    </row>
    <row r="35" spans="1:39" x14ac:dyDescent="0.3">
      <c r="A35" s="8" t="s">
        <v>78</v>
      </c>
      <c r="B35" s="18" t="s">
        <v>121</v>
      </c>
      <c r="C35" s="19" t="s">
        <v>43</v>
      </c>
      <c r="D35" s="17"/>
      <c r="E35" s="20">
        <v>8</v>
      </c>
      <c r="N35" s="18"/>
      <c r="O35" s="18"/>
      <c r="P35" s="18"/>
      <c r="Q35" s="43"/>
      <c r="R35" s="43"/>
      <c r="S35" s="43"/>
      <c r="T35" s="43"/>
      <c r="U35" s="43"/>
      <c r="V35" s="43"/>
      <c r="W35" s="33" t="s">
        <v>121</v>
      </c>
      <c r="X35" s="21"/>
      <c r="Y35" s="21"/>
      <c r="Z35" s="21"/>
      <c r="AA35" s="21" t="s">
        <v>120</v>
      </c>
      <c r="AB35" s="21"/>
      <c r="AH35" s="23">
        <v>1000</v>
      </c>
      <c r="AI35" s="24"/>
    </row>
    <row r="36" spans="1:39" x14ac:dyDescent="0.3">
      <c r="A36" s="8" t="s">
        <v>93</v>
      </c>
      <c r="B36" s="27" t="s">
        <v>28</v>
      </c>
      <c r="C36" s="28" t="s">
        <v>122</v>
      </c>
      <c r="D36" s="17">
        <v>600</v>
      </c>
      <c r="E36" s="20">
        <v>6</v>
      </c>
      <c r="N36" s="27"/>
      <c r="O36" s="27"/>
      <c r="P36" s="27"/>
      <c r="Q36" s="47"/>
      <c r="R36" s="47"/>
      <c r="S36" s="47"/>
      <c r="T36" s="47"/>
      <c r="U36" s="47"/>
      <c r="V36" s="47"/>
      <c r="W36" s="37" t="s">
        <v>28</v>
      </c>
      <c r="X36" s="21"/>
      <c r="Y36" s="21"/>
      <c r="Z36" s="21"/>
      <c r="AA36" s="21" t="s">
        <v>120</v>
      </c>
      <c r="AB36" s="21"/>
      <c r="AH36" s="38">
        <v>500</v>
      </c>
      <c r="AI36" s="38" t="s">
        <v>54</v>
      </c>
      <c r="AJ36" s="24"/>
      <c r="AK36" s="24"/>
    </row>
    <row r="37" spans="1:39" x14ac:dyDescent="0.3">
      <c r="A37" s="8" t="s">
        <v>123</v>
      </c>
      <c r="B37" s="27" t="s">
        <v>124</v>
      </c>
      <c r="C37" s="28" t="s">
        <v>125</v>
      </c>
      <c r="D37" s="17">
        <v>600</v>
      </c>
      <c r="E37" s="20">
        <v>8</v>
      </c>
      <c r="N37" s="27"/>
      <c r="O37" s="27"/>
      <c r="P37" s="27"/>
      <c r="Q37" s="47"/>
      <c r="R37" s="47"/>
      <c r="S37" s="47"/>
      <c r="T37" s="47"/>
      <c r="U37" s="47"/>
      <c r="V37" s="47"/>
      <c r="W37" s="37" t="s">
        <v>124</v>
      </c>
      <c r="X37" s="21"/>
      <c r="Y37" s="21"/>
      <c r="Z37" s="21"/>
      <c r="AA37" s="21" t="s">
        <v>120</v>
      </c>
      <c r="AB37" s="21"/>
      <c r="AH37" s="38">
        <v>500</v>
      </c>
      <c r="AI37" s="38" t="s">
        <v>54</v>
      </c>
    </row>
    <row r="38" spans="1:39" x14ac:dyDescent="0.3">
      <c r="A38" s="8" t="s">
        <v>78</v>
      </c>
      <c r="B38" s="39" t="s">
        <v>126</v>
      </c>
      <c r="C38" s="40" t="s">
        <v>127</v>
      </c>
      <c r="D38" s="17"/>
      <c r="E38" s="20">
        <v>9</v>
      </c>
      <c r="N38" s="39"/>
      <c r="O38" s="39"/>
      <c r="P38" s="39"/>
      <c r="Q38" s="48"/>
      <c r="R38" s="48"/>
      <c r="S38" s="48"/>
      <c r="T38" s="48"/>
      <c r="U38" s="48"/>
      <c r="V38" s="48"/>
      <c r="W38" s="41" t="s">
        <v>126</v>
      </c>
      <c r="X38" s="21"/>
      <c r="Y38" s="21"/>
      <c r="Z38" s="21"/>
      <c r="AA38" s="21"/>
      <c r="AB38" s="21"/>
      <c r="AI38" s="24"/>
    </row>
    <row r="39" spans="1:39" x14ac:dyDescent="0.3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39" x14ac:dyDescent="0.3">
      <c r="B40" s="17"/>
      <c r="C40" s="25"/>
      <c r="D40" s="51">
        <f>SUM(D5:D38)</f>
        <v>111900</v>
      </c>
      <c r="AD40" s="52">
        <f>SUM(AD5:AD7)</f>
        <v>20000</v>
      </c>
      <c r="AE40" s="52">
        <f>SUM(AE5:AE7)+SUM(AE10:AE16)</f>
        <v>20000</v>
      </c>
      <c r="AF40" s="52">
        <f>SUM(AF5:AF7)+SUM(AF10:AF16)</f>
        <v>20000</v>
      </c>
      <c r="AG40" s="52">
        <f>SUM(AG5:AG7)+SUM(AG10:AG16)+SUM(AG20:AG21)</f>
        <v>20000</v>
      </c>
      <c r="AH40" s="52">
        <f>SUM(AH5:AH7)+SUM(AH10:AH16)+SUM(AH20:AH21)+SUM(AH24:AH28)+SUM(AH35:AH38)</f>
        <v>20000</v>
      </c>
      <c r="AI40" s="52">
        <f>SUM(AI5:AI7)+SUM(AI10:AI16)+SUM(AI20:AI21)+SUM(AI24:AI28)+SUM(AI35:AI38)</f>
        <v>20000</v>
      </c>
      <c r="AJ40" s="52">
        <f>SUM(AJ5:AJ7)+SUM(AJ10:AJ16)+SUM(AJ20:AJ21)+SUM(AJ24:AJ28)+SUM(AJ35:AJ38)</f>
        <v>20000</v>
      </c>
      <c r="AK40" s="52">
        <f>SUM(AK5:AK7)+SUM(AK10:AK16)+SUM(AK20:AK21)+SUM(AK24:AK28)+SUM(AK35:AK38)</f>
        <v>20000</v>
      </c>
      <c r="AM40" s="34"/>
    </row>
    <row r="42" spans="1:39" x14ac:dyDescent="0.3">
      <c r="B42" s="20" t="s">
        <v>27</v>
      </c>
      <c r="C42" s="50" t="s">
        <v>128</v>
      </c>
    </row>
    <row r="43" spans="1:39" x14ac:dyDescent="0.3">
      <c r="B43" s="20" t="s">
        <v>28</v>
      </c>
      <c r="C43" s="50" t="s">
        <v>129</v>
      </c>
    </row>
    <row r="44" spans="1:39" x14ac:dyDescent="0.3">
      <c r="B44" s="20" t="s">
        <v>29</v>
      </c>
      <c r="C44" s="50" t="s">
        <v>130</v>
      </c>
    </row>
    <row r="45" spans="1:39" x14ac:dyDescent="0.3">
      <c r="B45" s="20" t="s">
        <v>44</v>
      </c>
      <c r="C45" s="50" t="s">
        <v>236</v>
      </c>
    </row>
    <row r="46" spans="1:39" x14ac:dyDescent="0.3">
      <c r="B46" s="20" t="s">
        <v>32</v>
      </c>
      <c r="C46" s="50" t="s">
        <v>235</v>
      </c>
    </row>
    <row r="47" spans="1:39" x14ac:dyDescent="0.3">
      <c r="B47" s="20" t="s">
        <v>56</v>
      </c>
      <c r="C47" s="50" t="s">
        <v>233</v>
      </c>
    </row>
    <row r="48" spans="1:39" x14ac:dyDescent="0.3">
      <c r="B48" s="20" t="s">
        <v>81</v>
      </c>
      <c r="C48" s="50" t="s">
        <v>234</v>
      </c>
    </row>
    <row r="49" spans="2:3" x14ac:dyDescent="0.3">
      <c r="B49" s="20" t="s">
        <v>91</v>
      </c>
      <c r="C49" s="50" t="s">
        <v>237</v>
      </c>
    </row>
    <row r="50" spans="2:3" x14ac:dyDescent="0.3">
      <c r="B50" s="20" t="s">
        <v>120</v>
      </c>
      <c r="C50" s="50" t="s">
        <v>238</v>
      </c>
    </row>
    <row r="51" spans="2:3" x14ac:dyDescent="0.3">
      <c r="B5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261E-D66F-4557-A236-72CCBCEE290F}">
  <dimension ref="A2:AR46"/>
  <sheetViews>
    <sheetView topLeftCell="A13" workbookViewId="0">
      <selection activeCell="A44" sqref="A44"/>
    </sheetView>
  </sheetViews>
  <sheetFormatPr defaultRowHeight="14.4" x14ac:dyDescent="0.3"/>
  <cols>
    <col min="1" max="1" width="10.77734375" style="8" customWidth="1"/>
    <col min="2" max="2" width="6.21875" style="8" bestFit="1" customWidth="1"/>
    <col min="3" max="3" width="12.33203125" style="50" customWidth="1"/>
    <col min="4" max="4" width="8.88671875" style="20" bestFit="1" customWidth="1"/>
    <col min="5" max="5" width="4.6640625" style="20" bestFit="1" customWidth="1"/>
    <col min="6" max="13" width="5.5546875" style="20" hidden="1" customWidth="1"/>
    <col min="14" max="18" width="5.5546875" style="20" bestFit="1" customWidth="1"/>
    <col min="19" max="19" width="6.6640625" style="20" bestFit="1" customWidth="1"/>
    <col min="20" max="27" width="5.5546875" style="20" bestFit="1" customWidth="1"/>
    <col min="28" max="28" width="5.5546875" style="8" bestFit="1" customWidth="1"/>
    <col min="29" max="29" width="2.77734375" style="54" customWidth="1"/>
    <col min="30" max="34" width="7.6640625" style="8" bestFit="1" customWidth="1"/>
    <col min="35" max="35" width="7.77734375" style="8" bestFit="1" customWidth="1"/>
    <col min="36" max="37" width="7.6640625" style="8" bestFit="1" customWidth="1"/>
    <col min="38" max="38" width="2.77734375" style="8" customWidth="1"/>
    <col min="39" max="16384" width="8.88671875" style="8"/>
  </cols>
  <sheetData>
    <row r="2" spans="1:44" x14ac:dyDescent="0.3">
      <c r="A2" s="1" t="s">
        <v>0</v>
      </c>
      <c r="B2" s="2"/>
      <c r="C2" s="3"/>
      <c r="D2" s="4" t="s">
        <v>132</v>
      </c>
      <c r="E2" s="4" t="s">
        <v>2</v>
      </c>
      <c r="F2" s="4">
        <v>2025</v>
      </c>
      <c r="G2" s="4">
        <v>2026</v>
      </c>
      <c r="H2" s="5">
        <v>2026</v>
      </c>
      <c r="I2" s="5">
        <v>2026</v>
      </c>
      <c r="J2" s="5">
        <v>2026</v>
      </c>
      <c r="K2" s="5">
        <v>2026</v>
      </c>
      <c r="L2" s="5">
        <v>2026</v>
      </c>
      <c r="M2" s="5">
        <v>2026</v>
      </c>
      <c r="N2" s="6">
        <v>2026</v>
      </c>
      <c r="O2" s="5">
        <v>2026</v>
      </c>
      <c r="P2" s="5">
        <v>2026</v>
      </c>
      <c r="Q2" s="5">
        <v>2027</v>
      </c>
      <c r="R2" s="5">
        <v>2027</v>
      </c>
      <c r="S2" s="5">
        <v>2027</v>
      </c>
      <c r="T2" s="5">
        <v>2027</v>
      </c>
      <c r="U2" s="5">
        <v>2027</v>
      </c>
      <c r="V2" s="5">
        <v>2027</v>
      </c>
      <c r="W2" s="5">
        <v>2027</v>
      </c>
      <c r="X2" s="5">
        <v>2027</v>
      </c>
      <c r="Y2" s="5">
        <v>2027</v>
      </c>
      <c r="Z2" s="5">
        <v>2027</v>
      </c>
      <c r="AA2" s="5">
        <v>2027</v>
      </c>
      <c r="AB2" s="5">
        <v>2027</v>
      </c>
      <c r="AC2" s="53"/>
      <c r="AD2" s="1" t="s">
        <v>3</v>
      </c>
      <c r="AE2" s="7"/>
      <c r="AF2" s="7"/>
      <c r="AG2" s="7"/>
      <c r="AH2" s="7"/>
      <c r="AI2" s="7"/>
      <c r="AJ2" s="7"/>
      <c r="AK2" s="7"/>
    </row>
    <row r="3" spans="1:44" x14ac:dyDescent="0.3">
      <c r="A3" s="7"/>
      <c r="B3" s="4"/>
      <c r="C3" s="9"/>
      <c r="D3" s="4" t="s">
        <v>4</v>
      </c>
      <c r="E3" s="4" t="s">
        <v>5</v>
      </c>
      <c r="F3" s="4" t="s">
        <v>6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10" t="s">
        <v>13</v>
      </c>
      <c r="O3" s="4" t="s">
        <v>14</v>
      </c>
      <c r="P3" s="4" t="s">
        <v>15</v>
      </c>
      <c r="Q3" s="4" t="s">
        <v>16</v>
      </c>
      <c r="R3" s="4" t="s">
        <v>6</v>
      </c>
      <c r="S3" s="4" t="s">
        <v>17</v>
      </c>
      <c r="T3" s="4" t="s">
        <v>7</v>
      </c>
      <c r="U3" s="4" t="s">
        <v>8</v>
      </c>
      <c r="V3" s="4" t="s">
        <v>9</v>
      </c>
      <c r="W3" s="4" t="s">
        <v>10</v>
      </c>
      <c r="X3" s="4" t="s">
        <v>11</v>
      </c>
      <c r="Y3" s="4" t="s">
        <v>12</v>
      </c>
      <c r="Z3" s="4" t="s">
        <v>13</v>
      </c>
      <c r="AA3" s="4" t="s">
        <v>14</v>
      </c>
      <c r="AB3" s="4" t="s">
        <v>15</v>
      </c>
      <c r="AD3" s="11" t="s">
        <v>18</v>
      </c>
      <c r="AE3" s="11" t="s">
        <v>19</v>
      </c>
      <c r="AF3" s="11" t="s">
        <v>20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</row>
    <row r="4" spans="1:44" x14ac:dyDescent="0.3">
      <c r="A4" s="12" t="s">
        <v>26</v>
      </c>
      <c r="B4" s="13"/>
      <c r="C4" s="14"/>
      <c r="D4" s="12"/>
      <c r="E4" s="13"/>
      <c r="F4" s="13" t="s">
        <v>27</v>
      </c>
      <c r="G4" s="13" t="s">
        <v>28</v>
      </c>
      <c r="H4" s="13" t="s">
        <v>29</v>
      </c>
      <c r="I4" s="13" t="s">
        <v>30</v>
      </c>
      <c r="J4" s="13" t="s">
        <v>31</v>
      </c>
      <c r="K4" s="13"/>
      <c r="L4" s="13"/>
      <c r="M4" s="13" t="s">
        <v>32</v>
      </c>
      <c r="N4" s="13"/>
      <c r="O4" s="15" t="s">
        <v>33</v>
      </c>
      <c r="P4" s="15"/>
      <c r="Q4" s="15" t="s">
        <v>34</v>
      </c>
      <c r="R4" s="15"/>
      <c r="S4" s="15" t="s">
        <v>35</v>
      </c>
      <c r="T4" s="15"/>
      <c r="U4" s="15" t="s">
        <v>36</v>
      </c>
      <c r="V4" s="15"/>
      <c r="W4" s="15" t="s">
        <v>37</v>
      </c>
      <c r="X4" s="15"/>
      <c r="Y4" s="15" t="s">
        <v>38</v>
      </c>
      <c r="Z4" s="15"/>
      <c r="AA4" s="15" t="s">
        <v>39</v>
      </c>
      <c r="AB4" s="13"/>
      <c r="AD4" s="16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P4" s="8" t="s">
        <v>40</v>
      </c>
      <c r="AQ4" s="17">
        <v>110534</v>
      </c>
    </row>
    <row r="5" spans="1:44" x14ac:dyDescent="0.3">
      <c r="A5" s="8" t="s">
        <v>136</v>
      </c>
      <c r="B5" s="18" t="s">
        <v>42</v>
      </c>
      <c r="C5" s="19" t="s">
        <v>43</v>
      </c>
      <c r="D5" s="17">
        <v>48000</v>
      </c>
      <c r="E5" s="20">
        <v>4</v>
      </c>
      <c r="J5" s="20" t="s">
        <v>44</v>
      </c>
      <c r="N5" s="20" t="s">
        <v>45</v>
      </c>
      <c r="Q5" s="21" t="s">
        <v>32</v>
      </c>
      <c r="R5" s="21"/>
      <c r="S5" s="21" t="s">
        <v>33</v>
      </c>
      <c r="T5" s="21"/>
      <c r="U5" s="21" t="s">
        <v>34</v>
      </c>
      <c r="V5" s="21"/>
      <c r="W5" s="21" t="s">
        <v>35</v>
      </c>
      <c r="X5" s="21"/>
      <c r="Y5" s="21" t="s">
        <v>36</v>
      </c>
      <c r="Z5" s="21"/>
      <c r="AA5" s="21" t="s">
        <v>37</v>
      </c>
      <c r="AB5" s="20"/>
      <c r="AC5" s="55"/>
      <c r="AD5" s="22">
        <v>10000</v>
      </c>
      <c r="AE5" s="23">
        <v>10000</v>
      </c>
      <c r="AF5" s="23">
        <v>15000</v>
      </c>
      <c r="AG5" s="23">
        <v>12000</v>
      </c>
      <c r="AH5" s="24"/>
      <c r="AI5" s="23">
        <v>8000</v>
      </c>
      <c r="AJ5" s="23">
        <v>15000</v>
      </c>
      <c r="AK5" s="23">
        <v>12000</v>
      </c>
      <c r="AP5" s="8" t="s">
        <v>46</v>
      </c>
      <c r="AQ5" s="17">
        <v>48678</v>
      </c>
    </row>
    <row r="6" spans="1:44" x14ac:dyDescent="0.3">
      <c r="A6" s="8" t="s">
        <v>136</v>
      </c>
      <c r="B6" s="20" t="s">
        <v>47</v>
      </c>
      <c r="C6" s="25" t="s">
        <v>134</v>
      </c>
      <c r="D6" s="17">
        <v>24000</v>
      </c>
      <c r="E6" s="20">
        <v>2</v>
      </c>
      <c r="M6" s="20" t="s">
        <v>49</v>
      </c>
      <c r="Q6" s="21" t="s">
        <v>32</v>
      </c>
      <c r="R6" s="21"/>
      <c r="S6" s="21" t="s">
        <v>33</v>
      </c>
      <c r="T6" s="21"/>
      <c r="U6" s="21" t="s">
        <v>34</v>
      </c>
      <c r="V6" s="21"/>
      <c r="W6" s="21" t="s">
        <v>35</v>
      </c>
      <c r="X6" s="21"/>
      <c r="Y6" s="21" t="s">
        <v>36</v>
      </c>
      <c r="Z6" s="21"/>
      <c r="AA6" s="21" t="s">
        <v>37</v>
      </c>
      <c r="AB6" s="20"/>
      <c r="AC6" s="55"/>
      <c r="AD6" s="22">
        <v>10000</v>
      </c>
      <c r="AE6" s="26">
        <v>5000</v>
      </c>
      <c r="AF6" s="26">
        <v>5000</v>
      </c>
      <c r="AG6" s="26">
        <v>5000</v>
      </c>
      <c r="AH6" s="26"/>
      <c r="AI6" s="26">
        <v>5000</v>
      </c>
      <c r="AJ6" s="26">
        <v>5000</v>
      </c>
      <c r="AK6" s="26">
        <v>5000</v>
      </c>
      <c r="AP6" s="8" t="s">
        <v>50</v>
      </c>
      <c r="AQ6" s="17">
        <v>11254</v>
      </c>
    </row>
    <row r="7" spans="1:44" x14ac:dyDescent="0.3">
      <c r="A7" s="8" t="s">
        <v>137</v>
      </c>
      <c r="B7" s="27" t="s">
        <v>52</v>
      </c>
      <c r="C7" s="28" t="s">
        <v>53</v>
      </c>
      <c r="D7" s="17">
        <v>300</v>
      </c>
      <c r="E7" s="20">
        <v>3</v>
      </c>
      <c r="N7" s="27"/>
      <c r="O7" s="27"/>
      <c r="P7" s="27"/>
      <c r="Q7" s="29" t="s">
        <v>52</v>
      </c>
      <c r="AB7" s="20"/>
      <c r="AD7" s="30" t="s">
        <v>54</v>
      </c>
      <c r="AQ7" s="8" t="s">
        <v>55</v>
      </c>
      <c r="AR7" s="17">
        <v>1256</v>
      </c>
    </row>
    <row r="8" spans="1:44" s="57" customFormat="1" x14ac:dyDescent="0.3">
      <c r="B8" s="58"/>
      <c r="C8" s="59"/>
      <c r="D8" s="60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65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R8" s="60"/>
    </row>
    <row r="9" spans="1:44" x14ac:dyDescent="0.3">
      <c r="A9" s="12" t="s">
        <v>26</v>
      </c>
      <c r="B9" s="13"/>
      <c r="C9" s="31"/>
      <c r="D9" s="3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 t="s">
        <v>56</v>
      </c>
      <c r="R9" s="15"/>
      <c r="S9" s="15"/>
      <c r="T9" s="15"/>
      <c r="U9" s="15"/>
      <c r="V9" s="15"/>
      <c r="W9" s="15" t="s">
        <v>57</v>
      </c>
      <c r="X9" s="15"/>
      <c r="Y9" s="15"/>
      <c r="Z9" s="15"/>
      <c r="AA9" s="15"/>
      <c r="AB9" s="15"/>
      <c r="AC9" s="56"/>
      <c r="AE9" s="13" t="s">
        <v>56</v>
      </c>
      <c r="AF9" s="13"/>
      <c r="AG9" s="13"/>
      <c r="AH9" s="13"/>
      <c r="AI9" s="13" t="s">
        <v>57</v>
      </c>
      <c r="AJ9" s="13"/>
      <c r="AP9" s="8" t="s">
        <v>58</v>
      </c>
      <c r="AQ9" s="17">
        <v>3504</v>
      </c>
    </row>
    <row r="10" spans="1:44" x14ac:dyDescent="0.3">
      <c r="A10" s="8" t="s">
        <v>59</v>
      </c>
      <c r="B10" s="18" t="s">
        <v>60</v>
      </c>
      <c r="C10" s="19" t="s">
        <v>43</v>
      </c>
      <c r="D10" s="17">
        <v>3600</v>
      </c>
      <c r="E10" s="20">
        <v>3</v>
      </c>
      <c r="N10" s="18"/>
      <c r="O10" s="18"/>
      <c r="P10" s="18"/>
      <c r="Q10" s="33" t="s">
        <v>60</v>
      </c>
      <c r="R10" s="21"/>
      <c r="S10" s="21"/>
      <c r="T10" s="21"/>
      <c r="U10" s="21" t="s">
        <v>56</v>
      </c>
      <c r="V10" s="21"/>
      <c r="W10" s="21"/>
      <c r="X10" s="21"/>
      <c r="Y10" s="21"/>
      <c r="Z10" s="21"/>
      <c r="AA10" s="21" t="s">
        <v>57</v>
      </c>
      <c r="AB10" s="21"/>
      <c r="AC10" s="55"/>
      <c r="AE10" s="23">
        <v>1500</v>
      </c>
      <c r="AF10" s="17"/>
      <c r="AG10" s="34"/>
      <c r="AH10" s="34"/>
      <c r="AI10" s="35">
        <v>1500</v>
      </c>
      <c r="AJ10" s="34"/>
      <c r="AK10" s="34"/>
      <c r="AP10" s="8" t="s">
        <v>61</v>
      </c>
      <c r="AQ10" s="17">
        <v>668</v>
      </c>
    </row>
    <row r="11" spans="1:44" x14ac:dyDescent="0.3">
      <c r="A11" s="8" t="s">
        <v>59</v>
      </c>
      <c r="B11" s="18" t="s">
        <v>62</v>
      </c>
      <c r="C11" s="19" t="s">
        <v>43</v>
      </c>
      <c r="D11" s="17">
        <v>1200</v>
      </c>
      <c r="E11" s="20">
        <v>2</v>
      </c>
      <c r="N11" s="18"/>
      <c r="O11" s="18"/>
      <c r="P11" s="18"/>
      <c r="Q11" s="33" t="s">
        <v>62</v>
      </c>
      <c r="R11" s="21"/>
      <c r="S11" s="21"/>
      <c r="T11" s="21"/>
      <c r="U11" s="21" t="s">
        <v>56</v>
      </c>
      <c r="V11" s="21"/>
      <c r="W11" s="21"/>
      <c r="X11" s="21"/>
      <c r="Y11" s="21"/>
      <c r="Z11" s="21"/>
      <c r="AA11" s="21" t="s">
        <v>57</v>
      </c>
      <c r="AB11" s="21"/>
      <c r="AC11" s="55"/>
      <c r="AE11" s="23">
        <v>1000</v>
      </c>
      <c r="AF11" s="17"/>
      <c r="AI11" s="36">
        <v>1000</v>
      </c>
      <c r="AP11" s="8" t="s">
        <v>63</v>
      </c>
      <c r="AQ11" s="17">
        <v>1806</v>
      </c>
    </row>
    <row r="12" spans="1:44" x14ac:dyDescent="0.3">
      <c r="A12" s="8" t="s">
        <v>59</v>
      </c>
      <c r="B12" s="27" t="s">
        <v>64</v>
      </c>
      <c r="C12" s="28" t="s">
        <v>65</v>
      </c>
      <c r="D12" s="17">
        <v>1800</v>
      </c>
      <c r="E12" s="20">
        <v>3</v>
      </c>
      <c r="N12" s="27"/>
      <c r="O12" s="27"/>
      <c r="P12" s="27"/>
      <c r="Q12" s="37" t="s">
        <v>64</v>
      </c>
      <c r="R12" s="21"/>
      <c r="S12" s="21"/>
      <c r="T12" s="21"/>
      <c r="U12" s="21" t="s">
        <v>56</v>
      </c>
      <c r="V12" s="21"/>
      <c r="W12" s="21"/>
      <c r="X12" s="21"/>
      <c r="Y12" s="21"/>
      <c r="Z12" s="21"/>
      <c r="AA12" s="21" t="s">
        <v>57</v>
      </c>
      <c r="AB12" s="21"/>
      <c r="AC12" s="55"/>
      <c r="AE12" s="38">
        <v>1000</v>
      </c>
      <c r="AF12" s="30" t="s">
        <v>54</v>
      </c>
      <c r="AI12" s="30">
        <v>1000</v>
      </c>
      <c r="AJ12" s="30" t="s">
        <v>54</v>
      </c>
      <c r="AP12" s="8" t="s">
        <v>66</v>
      </c>
      <c r="AQ12" s="17">
        <v>682</v>
      </c>
    </row>
    <row r="13" spans="1:44" x14ac:dyDescent="0.3">
      <c r="A13" s="8" t="s">
        <v>59</v>
      </c>
      <c r="B13" s="18" t="s">
        <v>67</v>
      </c>
      <c r="C13" s="19" t="s">
        <v>43</v>
      </c>
      <c r="D13" s="17">
        <v>1200</v>
      </c>
      <c r="E13" s="20">
        <v>2</v>
      </c>
      <c r="N13" s="18"/>
      <c r="O13" s="18"/>
      <c r="P13" s="18"/>
      <c r="Q13" s="33" t="s">
        <v>67</v>
      </c>
      <c r="R13" s="21"/>
      <c r="S13" s="21"/>
      <c r="T13" s="21"/>
      <c r="U13" s="21" t="s">
        <v>56</v>
      </c>
      <c r="V13" s="21"/>
      <c r="W13" s="21"/>
      <c r="X13" s="21"/>
      <c r="Y13" s="21"/>
      <c r="Z13" s="21"/>
      <c r="AA13" s="21" t="s">
        <v>57</v>
      </c>
      <c r="AB13" s="21"/>
      <c r="AC13" s="55"/>
      <c r="AE13" s="23">
        <v>1000</v>
      </c>
      <c r="AI13" s="36">
        <v>500</v>
      </c>
      <c r="AP13" s="8" t="s">
        <v>68</v>
      </c>
      <c r="AQ13" s="17">
        <v>6610</v>
      </c>
    </row>
    <row r="14" spans="1:44" x14ac:dyDescent="0.3">
      <c r="A14" s="8" t="s">
        <v>59</v>
      </c>
      <c r="B14" s="18" t="s">
        <v>69</v>
      </c>
      <c r="C14" s="19" t="s">
        <v>43</v>
      </c>
      <c r="D14" s="17">
        <v>600</v>
      </c>
      <c r="E14" s="20">
        <v>3</v>
      </c>
      <c r="N14" s="18"/>
      <c r="O14" s="18"/>
      <c r="P14" s="18"/>
      <c r="Q14" s="33" t="s">
        <v>69</v>
      </c>
      <c r="R14" s="21"/>
      <c r="S14" s="21"/>
      <c r="T14" s="21"/>
      <c r="U14" s="21" t="s">
        <v>56</v>
      </c>
      <c r="V14" s="21"/>
      <c r="W14" s="21"/>
      <c r="X14" s="21"/>
      <c r="Y14" s="21"/>
      <c r="Z14" s="21"/>
      <c r="AA14" s="21" t="s">
        <v>57</v>
      </c>
      <c r="AB14" s="21"/>
      <c r="AC14" s="55"/>
      <c r="AE14" s="23">
        <v>500</v>
      </c>
      <c r="AI14" s="36"/>
      <c r="AP14" s="8" t="s">
        <v>70</v>
      </c>
      <c r="AQ14" s="17">
        <v>36850</v>
      </c>
    </row>
    <row r="15" spans="1:44" x14ac:dyDescent="0.3">
      <c r="A15" s="8" t="s">
        <v>71</v>
      </c>
      <c r="B15" s="39" t="s">
        <v>72</v>
      </c>
      <c r="C15" s="40" t="s">
        <v>133</v>
      </c>
      <c r="D15" s="17"/>
      <c r="E15" s="20">
        <v>4</v>
      </c>
      <c r="N15" s="39"/>
      <c r="O15" s="39"/>
      <c r="P15" s="39"/>
      <c r="Q15" s="41" t="s">
        <v>72</v>
      </c>
      <c r="R15" s="21"/>
      <c r="S15" s="21"/>
      <c r="T15" s="21"/>
      <c r="U15" s="21" t="s">
        <v>56</v>
      </c>
      <c r="V15" s="21"/>
      <c r="W15" s="21"/>
      <c r="X15" s="21"/>
      <c r="Y15" s="21"/>
      <c r="Z15" s="21"/>
      <c r="AA15" s="21" t="s">
        <v>57</v>
      </c>
      <c r="AB15" s="21"/>
      <c r="AC15" s="55"/>
      <c r="AP15" s="8" t="s">
        <v>74</v>
      </c>
      <c r="AQ15" s="17">
        <v>8704</v>
      </c>
    </row>
    <row r="16" spans="1:44" x14ac:dyDescent="0.3">
      <c r="A16" s="8" t="s">
        <v>71</v>
      </c>
      <c r="B16" s="27" t="s">
        <v>75</v>
      </c>
      <c r="C16" s="28" t="s">
        <v>76</v>
      </c>
      <c r="D16" s="17"/>
      <c r="E16" s="20">
        <v>2</v>
      </c>
      <c r="N16" s="27"/>
      <c r="O16" s="27"/>
      <c r="P16" s="27"/>
      <c r="Q16" s="42" t="s">
        <v>75</v>
      </c>
      <c r="R16" s="21"/>
      <c r="S16" s="21"/>
      <c r="T16" s="21"/>
      <c r="U16" s="21" t="s">
        <v>56</v>
      </c>
      <c r="V16" s="21"/>
      <c r="W16" s="21"/>
      <c r="X16" s="21"/>
      <c r="Y16" s="21"/>
      <c r="Z16" s="21"/>
      <c r="AA16" s="21" t="s">
        <v>57</v>
      </c>
      <c r="AB16" s="21"/>
      <c r="AC16" s="55"/>
      <c r="AP16" s="8" t="s">
        <v>77</v>
      </c>
      <c r="AQ16" s="17">
        <v>456</v>
      </c>
    </row>
    <row r="17" spans="1:43" x14ac:dyDescent="0.3">
      <c r="A17" s="8" t="s">
        <v>78</v>
      </c>
      <c r="B17" s="39" t="s">
        <v>79</v>
      </c>
      <c r="C17" s="40" t="s">
        <v>80</v>
      </c>
      <c r="D17" s="17"/>
      <c r="N17" s="39"/>
      <c r="O17" s="39"/>
      <c r="P17" s="39"/>
      <c r="Q17" s="41" t="s">
        <v>79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Q17" s="17"/>
    </row>
    <row r="18" spans="1:43" s="57" customFormat="1" x14ac:dyDescent="0.3">
      <c r="B18" s="58"/>
      <c r="C18" s="59"/>
      <c r="D18" s="60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61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Q18" s="60"/>
    </row>
    <row r="19" spans="1:43" x14ac:dyDescent="0.3">
      <c r="A19" s="12" t="s">
        <v>26</v>
      </c>
      <c r="B19" s="20"/>
      <c r="C19" s="25"/>
      <c r="D19" s="17"/>
      <c r="Q19" s="21"/>
      <c r="R19" s="21"/>
      <c r="S19" s="15" t="s">
        <v>81</v>
      </c>
      <c r="T19" s="15"/>
      <c r="U19" s="15"/>
      <c r="V19" s="15"/>
      <c r="W19" s="15" t="s">
        <v>82</v>
      </c>
      <c r="X19" s="15"/>
      <c r="Y19" s="15"/>
      <c r="Z19" s="15"/>
      <c r="AA19" s="15" t="s">
        <v>83</v>
      </c>
      <c r="AB19" s="21"/>
      <c r="AG19" s="13" t="s">
        <v>81</v>
      </c>
      <c r="AH19" s="13"/>
      <c r="AI19" s="13" t="s">
        <v>82</v>
      </c>
      <c r="AJ19" s="13"/>
      <c r="AK19" s="13" t="s">
        <v>84</v>
      </c>
      <c r="AP19" s="8" t="s">
        <v>85</v>
      </c>
      <c r="AQ19" s="17">
        <v>7944</v>
      </c>
    </row>
    <row r="20" spans="1:43" x14ac:dyDescent="0.3">
      <c r="A20" s="8" t="s">
        <v>86</v>
      </c>
      <c r="B20" s="18" t="s">
        <v>87</v>
      </c>
      <c r="C20" s="19" t="s">
        <v>43</v>
      </c>
      <c r="D20" s="17">
        <v>3600</v>
      </c>
      <c r="E20" s="20">
        <v>4</v>
      </c>
      <c r="N20" s="18"/>
      <c r="O20" s="18"/>
      <c r="P20" s="18"/>
      <c r="Q20" s="43"/>
      <c r="R20" s="43"/>
      <c r="S20" s="33" t="s">
        <v>87</v>
      </c>
      <c r="T20" s="21"/>
      <c r="U20" s="21"/>
      <c r="V20" s="21"/>
      <c r="W20" s="21" t="s">
        <v>81</v>
      </c>
      <c r="X20" s="21"/>
      <c r="Y20" s="21"/>
      <c r="Z20" s="21"/>
      <c r="AA20" s="21" t="s">
        <v>82</v>
      </c>
      <c r="AB20" s="21"/>
      <c r="AG20" s="35">
        <v>1000</v>
      </c>
      <c r="AH20" s="34"/>
      <c r="AI20" s="35">
        <v>1000</v>
      </c>
      <c r="AJ20" s="34"/>
      <c r="AK20" s="35">
        <v>1000</v>
      </c>
      <c r="AP20" s="8" t="s">
        <v>88</v>
      </c>
      <c r="AQ20" s="17">
        <v>210</v>
      </c>
    </row>
    <row r="21" spans="1:43" x14ac:dyDescent="0.3">
      <c r="A21" s="8" t="s">
        <v>86</v>
      </c>
      <c r="B21" s="18" t="s">
        <v>89</v>
      </c>
      <c r="C21" s="19" t="s">
        <v>43</v>
      </c>
      <c r="D21" s="17">
        <v>6000</v>
      </c>
      <c r="E21" s="20">
        <v>3</v>
      </c>
      <c r="N21" s="18"/>
      <c r="O21" s="18"/>
      <c r="P21" s="18"/>
      <c r="Q21" s="43"/>
      <c r="R21" s="43"/>
      <c r="S21" s="33" t="s">
        <v>89</v>
      </c>
      <c r="T21" s="21"/>
      <c r="U21" s="21"/>
      <c r="V21" s="21"/>
      <c r="W21" s="21" t="s">
        <v>81</v>
      </c>
      <c r="X21" s="21"/>
      <c r="Y21" s="21"/>
      <c r="Z21" s="21"/>
      <c r="AA21" s="21" t="s">
        <v>82</v>
      </c>
      <c r="AB21" s="21"/>
      <c r="AG21" s="35">
        <v>2000</v>
      </c>
      <c r="AI21" s="35">
        <v>2000</v>
      </c>
      <c r="AK21" s="35">
        <v>2000</v>
      </c>
      <c r="AP21" s="8" t="s">
        <v>90</v>
      </c>
      <c r="AQ21" s="17">
        <v>2200</v>
      </c>
    </row>
    <row r="22" spans="1:43" s="57" customFormat="1" x14ac:dyDescent="0.3">
      <c r="B22" s="58"/>
      <c r="C22" s="59"/>
      <c r="D22" s="60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62"/>
      <c r="R22" s="62"/>
      <c r="S22" s="63"/>
      <c r="T22" s="62"/>
      <c r="U22" s="62"/>
      <c r="V22" s="62"/>
      <c r="W22" s="62"/>
      <c r="X22" s="62"/>
      <c r="Y22" s="62"/>
      <c r="Z22" s="62"/>
      <c r="AA22" s="62"/>
      <c r="AB22" s="62"/>
      <c r="AG22" s="64"/>
      <c r="AI22" s="64"/>
      <c r="AK22" s="64"/>
      <c r="AQ22" s="60"/>
    </row>
    <row r="23" spans="1:43" x14ac:dyDescent="0.3">
      <c r="A23" s="12" t="s">
        <v>26</v>
      </c>
      <c r="B23" s="20"/>
      <c r="C23" s="25"/>
      <c r="D23" s="17"/>
      <c r="Q23" s="21"/>
      <c r="R23" s="21"/>
      <c r="S23" s="21"/>
      <c r="T23" s="21"/>
      <c r="U23" s="15" t="s">
        <v>91</v>
      </c>
      <c r="V23" s="15"/>
      <c r="W23" s="15"/>
      <c r="X23" s="15"/>
      <c r="Y23" s="15"/>
      <c r="Z23" s="15"/>
      <c r="AA23" s="15"/>
      <c r="AB23" s="21"/>
      <c r="AH23" s="13" t="s">
        <v>91</v>
      </c>
      <c r="AI23" s="13"/>
      <c r="AJ23" s="13"/>
      <c r="AK23" s="13"/>
      <c r="AP23" s="8" t="s">
        <v>92</v>
      </c>
      <c r="AQ23" s="17">
        <v>668</v>
      </c>
    </row>
    <row r="24" spans="1:43" x14ac:dyDescent="0.3">
      <c r="A24" s="8" t="s">
        <v>93</v>
      </c>
      <c r="B24" s="4" t="s">
        <v>94</v>
      </c>
      <c r="C24" s="44" t="s">
        <v>95</v>
      </c>
      <c r="D24" s="17">
        <v>12000</v>
      </c>
      <c r="E24" s="20">
        <v>6</v>
      </c>
      <c r="N24" s="4"/>
      <c r="O24" s="4"/>
      <c r="P24" s="4"/>
      <c r="Q24" s="45"/>
      <c r="R24" s="45"/>
      <c r="S24" s="45"/>
      <c r="T24" s="45"/>
      <c r="U24" s="10" t="s">
        <v>94</v>
      </c>
      <c r="V24" s="21"/>
      <c r="W24" s="21"/>
      <c r="X24" s="21"/>
      <c r="Y24" s="21" t="s">
        <v>91</v>
      </c>
      <c r="Z24" s="21"/>
      <c r="AA24" s="21"/>
      <c r="AB24" s="21"/>
      <c r="AF24" s="17"/>
      <c r="AH24" s="46">
        <v>10000</v>
      </c>
      <c r="AI24" s="17"/>
      <c r="AJ24" s="17"/>
      <c r="AK24" s="17"/>
      <c r="AP24" s="8" t="s">
        <v>96</v>
      </c>
      <c r="AQ24" s="17">
        <v>436</v>
      </c>
    </row>
    <row r="25" spans="1:43" x14ac:dyDescent="0.3">
      <c r="A25" s="8" t="s">
        <v>93</v>
      </c>
      <c r="B25" s="27" t="s">
        <v>97</v>
      </c>
      <c r="C25" s="28" t="s">
        <v>98</v>
      </c>
      <c r="D25" s="17">
        <v>3600</v>
      </c>
      <c r="E25" s="20">
        <v>6</v>
      </c>
      <c r="N25" s="27"/>
      <c r="O25" s="27"/>
      <c r="P25" s="27"/>
      <c r="Q25" s="47"/>
      <c r="R25" s="47"/>
      <c r="S25" s="47"/>
      <c r="T25" s="47"/>
      <c r="U25" s="37" t="s">
        <v>97</v>
      </c>
      <c r="V25" s="21"/>
      <c r="W25" s="21"/>
      <c r="X25" s="21"/>
      <c r="Y25" s="21" t="s">
        <v>91</v>
      </c>
      <c r="Z25" s="21"/>
      <c r="AA25" s="21"/>
      <c r="AB25" s="21"/>
      <c r="AH25" s="38">
        <v>3000</v>
      </c>
      <c r="AI25" s="30" t="s">
        <v>54</v>
      </c>
      <c r="AP25" s="8" t="s">
        <v>99</v>
      </c>
      <c r="AQ25" s="17">
        <v>1494</v>
      </c>
    </row>
    <row r="26" spans="1:43" x14ac:dyDescent="0.3">
      <c r="A26" s="8" t="s">
        <v>93</v>
      </c>
      <c r="B26" s="27" t="s">
        <v>100</v>
      </c>
      <c r="C26" s="28" t="s">
        <v>101</v>
      </c>
      <c r="D26" s="17">
        <v>2400</v>
      </c>
      <c r="E26" s="20">
        <v>6</v>
      </c>
      <c r="N26" s="27"/>
      <c r="O26" s="27"/>
      <c r="P26" s="27"/>
      <c r="Q26" s="47"/>
      <c r="R26" s="47"/>
      <c r="S26" s="47"/>
      <c r="T26" s="47"/>
      <c r="U26" s="37" t="s">
        <v>100</v>
      </c>
      <c r="V26" s="21"/>
      <c r="W26" s="21"/>
      <c r="X26" s="21"/>
      <c r="Y26" s="21" t="s">
        <v>91</v>
      </c>
      <c r="Z26" s="21"/>
      <c r="AA26" s="21"/>
      <c r="AB26" s="21"/>
      <c r="AH26" s="38">
        <v>2000</v>
      </c>
      <c r="AI26" s="30" t="s">
        <v>54</v>
      </c>
      <c r="AP26" s="8" t="s">
        <v>102</v>
      </c>
      <c r="AQ26" s="17">
        <v>4698</v>
      </c>
    </row>
    <row r="27" spans="1:43" x14ac:dyDescent="0.3">
      <c r="A27" s="8" t="s">
        <v>93</v>
      </c>
      <c r="B27" s="27" t="s">
        <v>103</v>
      </c>
      <c r="C27" s="28" t="s">
        <v>104</v>
      </c>
      <c r="D27" s="17">
        <v>1200</v>
      </c>
      <c r="E27" s="20">
        <v>6</v>
      </c>
      <c r="N27" s="27"/>
      <c r="O27" s="27"/>
      <c r="P27" s="27"/>
      <c r="Q27" s="47"/>
      <c r="R27" s="47"/>
      <c r="S27" s="47"/>
      <c r="T27" s="47"/>
      <c r="U27" s="37" t="s">
        <v>103</v>
      </c>
      <c r="V27" s="21"/>
      <c r="W27" s="21"/>
      <c r="X27" s="21"/>
      <c r="Y27" s="21" t="s">
        <v>91</v>
      </c>
      <c r="Z27" s="21"/>
      <c r="AA27" s="21"/>
      <c r="AB27" s="21"/>
      <c r="AH27" s="38">
        <v>2000</v>
      </c>
      <c r="AI27" s="30" t="s">
        <v>54</v>
      </c>
      <c r="AP27" s="8" t="s">
        <v>105</v>
      </c>
      <c r="AQ27" s="17">
        <v>2856</v>
      </c>
    </row>
    <row r="28" spans="1:43" x14ac:dyDescent="0.3">
      <c r="A28" s="8" t="s">
        <v>71</v>
      </c>
      <c r="B28" s="27" t="s">
        <v>106</v>
      </c>
      <c r="C28" s="28" t="s">
        <v>107</v>
      </c>
      <c r="D28" s="17">
        <v>1200</v>
      </c>
      <c r="E28" s="20">
        <v>6</v>
      </c>
      <c r="N28" s="27"/>
      <c r="O28" s="27"/>
      <c r="P28" s="27"/>
      <c r="Q28" s="47"/>
      <c r="R28" s="47"/>
      <c r="S28" s="47"/>
      <c r="T28" s="47"/>
      <c r="U28" s="37" t="s">
        <v>106</v>
      </c>
      <c r="V28" s="21"/>
      <c r="W28" s="21"/>
      <c r="X28" s="21"/>
      <c r="Y28" s="21" t="s">
        <v>91</v>
      </c>
      <c r="Z28" s="21"/>
      <c r="AA28" s="21"/>
      <c r="AB28" s="21"/>
      <c r="AH28" s="38">
        <v>1000</v>
      </c>
      <c r="AI28" s="30" t="s">
        <v>54</v>
      </c>
      <c r="AP28" s="8" t="s">
        <v>108</v>
      </c>
      <c r="AQ28" s="17">
        <v>188</v>
      </c>
    </row>
    <row r="29" spans="1:43" x14ac:dyDescent="0.3">
      <c r="A29" s="8" t="s">
        <v>93</v>
      </c>
      <c r="B29" s="27" t="s">
        <v>109</v>
      </c>
      <c r="C29" s="28" t="s">
        <v>110</v>
      </c>
      <c r="D29" s="17"/>
      <c r="E29" s="20">
        <v>6</v>
      </c>
      <c r="N29" s="39"/>
      <c r="O29" s="39"/>
      <c r="P29" s="39"/>
      <c r="Q29" s="48"/>
      <c r="R29" s="48"/>
      <c r="S29" s="48"/>
      <c r="T29" s="48"/>
      <c r="U29" s="41" t="s">
        <v>111</v>
      </c>
      <c r="V29" s="21"/>
      <c r="W29" s="21"/>
      <c r="X29" s="21"/>
      <c r="Y29" s="21"/>
      <c r="Z29" s="21"/>
      <c r="AA29" s="21"/>
      <c r="AB29" s="21"/>
      <c r="AH29" s="26"/>
      <c r="AP29" s="8" t="s">
        <v>112</v>
      </c>
      <c r="AQ29" s="17">
        <v>1098</v>
      </c>
    </row>
    <row r="30" spans="1:43" x14ac:dyDescent="0.3">
      <c r="A30" s="8" t="s">
        <v>59</v>
      </c>
      <c r="B30" s="39" t="s">
        <v>111</v>
      </c>
      <c r="C30" s="40" t="s">
        <v>113</v>
      </c>
      <c r="D30" s="17"/>
      <c r="E30" s="20">
        <v>6</v>
      </c>
      <c r="N30" s="39"/>
      <c r="O30" s="39"/>
      <c r="P30" s="39"/>
      <c r="Q30" s="48"/>
      <c r="R30" s="48"/>
      <c r="S30" s="48"/>
      <c r="T30" s="48"/>
      <c r="U30" s="41" t="s">
        <v>114</v>
      </c>
      <c r="V30" s="21"/>
      <c r="W30" s="21"/>
      <c r="X30" s="21"/>
      <c r="Y30" s="21"/>
      <c r="Z30" s="21"/>
      <c r="AA30" s="21"/>
      <c r="AB30" s="21"/>
      <c r="AH30" s="26"/>
      <c r="AP30" s="8" t="s">
        <v>115</v>
      </c>
      <c r="AQ30" s="17">
        <v>4052</v>
      </c>
    </row>
    <row r="31" spans="1:43" x14ac:dyDescent="0.3">
      <c r="A31" s="8" t="s">
        <v>78</v>
      </c>
      <c r="B31" s="39" t="s">
        <v>114</v>
      </c>
      <c r="C31" s="40" t="s">
        <v>116</v>
      </c>
      <c r="D31" s="17"/>
      <c r="E31" s="20">
        <v>6</v>
      </c>
      <c r="N31" s="27"/>
      <c r="O31" s="27"/>
      <c r="P31" s="27"/>
      <c r="Q31" s="47"/>
      <c r="R31" s="47"/>
      <c r="S31" s="47"/>
      <c r="T31" s="47"/>
      <c r="U31" s="42" t="s">
        <v>117</v>
      </c>
      <c r="V31" s="21"/>
      <c r="W31" s="21"/>
      <c r="X31" s="21"/>
      <c r="Y31" s="21"/>
      <c r="Z31" s="21"/>
      <c r="AA31" s="21"/>
      <c r="AB31" s="21"/>
      <c r="AP31" s="8" t="s">
        <v>118</v>
      </c>
      <c r="AQ31" s="17">
        <v>256846</v>
      </c>
    </row>
    <row r="32" spans="1:43" x14ac:dyDescent="0.3">
      <c r="A32" s="8" t="s">
        <v>78</v>
      </c>
      <c r="B32" s="27" t="s">
        <v>117</v>
      </c>
      <c r="C32" s="28" t="s">
        <v>135</v>
      </c>
      <c r="D32" s="17"/>
      <c r="E32" s="20">
        <v>5</v>
      </c>
      <c r="Q32" s="21"/>
      <c r="R32" s="21"/>
      <c r="S32" s="21"/>
      <c r="T32" s="21"/>
      <c r="U32" s="49"/>
      <c r="V32" s="21"/>
      <c r="W32" s="21"/>
      <c r="X32" s="21"/>
      <c r="Y32" s="21"/>
      <c r="Z32" s="21"/>
      <c r="AA32" s="21"/>
      <c r="AB32" s="21"/>
    </row>
    <row r="33" spans="1:39" s="57" customFormat="1" x14ac:dyDescent="0.3">
      <c r="B33" s="58"/>
      <c r="C33" s="59"/>
      <c r="D33" s="60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62"/>
      <c r="R33" s="62"/>
      <c r="S33" s="62"/>
      <c r="T33" s="62"/>
      <c r="U33" s="61"/>
      <c r="V33" s="62"/>
      <c r="W33" s="62"/>
      <c r="X33" s="62"/>
      <c r="Y33" s="62"/>
      <c r="Z33" s="62"/>
      <c r="AA33" s="62"/>
      <c r="AB33" s="62"/>
    </row>
    <row r="34" spans="1:39" x14ac:dyDescent="0.3">
      <c r="A34" s="12" t="s">
        <v>26</v>
      </c>
      <c r="B34" s="13"/>
      <c r="C34" s="31"/>
      <c r="D34" s="3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5"/>
      <c r="R34" s="15"/>
      <c r="S34" s="15"/>
      <c r="T34" s="15"/>
      <c r="U34" s="15"/>
      <c r="V34" s="15"/>
      <c r="W34" s="15" t="s">
        <v>120</v>
      </c>
      <c r="X34" s="15"/>
      <c r="Y34" s="15"/>
      <c r="Z34" s="15"/>
      <c r="AA34" s="15"/>
      <c r="AB34" s="15"/>
      <c r="AC34" s="56"/>
      <c r="AD34" s="12"/>
      <c r="AE34" s="12"/>
      <c r="AF34" s="12"/>
      <c r="AG34" s="12"/>
      <c r="AH34" s="13" t="s">
        <v>120</v>
      </c>
      <c r="AI34" s="13"/>
      <c r="AJ34" s="13"/>
      <c r="AK34" s="13"/>
    </row>
    <row r="35" spans="1:39" x14ac:dyDescent="0.3">
      <c r="A35" s="8" t="s">
        <v>78</v>
      </c>
      <c r="B35" s="18" t="s">
        <v>121</v>
      </c>
      <c r="C35" s="19" t="s">
        <v>43</v>
      </c>
      <c r="D35" s="17"/>
      <c r="E35" s="20">
        <v>8</v>
      </c>
      <c r="N35" s="18"/>
      <c r="O35" s="18"/>
      <c r="P35" s="18"/>
      <c r="Q35" s="43"/>
      <c r="R35" s="43"/>
      <c r="S35" s="43"/>
      <c r="T35" s="43"/>
      <c r="U35" s="43"/>
      <c r="V35" s="43"/>
      <c r="W35" s="33" t="s">
        <v>121</v>
      </c>
      <c r="X35" s="21"/>
      <c r="Y35" s="21"/>
      <c r="Z35" s="21"/>
      <c r="AA35" s="21" t="s">
        <v>120</v>
      </c>
      <c r="AB35" s="21"/>
      <c r="AH35" s="23">
        <v>1000</v>
      </c>
      <c r="AI35" s="24"/>
    </row>
    <row r="36" spans="1:39" x14ac:dyDescent="0.3">
      <c r="A36" s="8" t="s">
        <v>93</v>
      </c>
      <c r="B36" s="27" t="s">
        <v>28</v>
      </c>
      <c r="C36" s="28" t="s">
        <v>122</v>
      </c>
      <c r="D36" s="17">
        <v>600</v>
      </c>
      <c r="E36" s="20">
        <v>6</v>
      </c>
      <c r="N36" s="27"/>
      <c r="O36" s="27"/>
      <c r="P36" s="27"/>
      <c r="Q36" s="47"/>
      <c r="R36" s="47"/>
      <c r="S36" s="47"/>
      <c r="T36" s="47"/>
      <c r="U36" s="47"/>
      <c r="V36" s="47"/>
      <c r="W36" s="37" t="s">
        <v>28</v>
      </c>
      <c r="X36" s="21"/>
      <c r="Y36" s="21"/>
      <c r="Z36" s="21"/>
      <c r="AA36" s="21" t="s">
        <v>120</v>
      </c>
      <c r="AB36" s="21"/>
      <c r="AH36" s="38">
        <v>500</v>
      </c>
      <c r="AI36" s="38" t="s">
        <v>54</v>
      </c>
      <c r="AJ36" s="24"/>
      <c r="AK36" s="24"/>
    </row>
    <row r="37" spans="1:39" x14ac:dyDescent="0.3">
      <c r="A37" s="8" t="s">
        <v>123</v>
      </c>
      <c r="B37" s="27" t="s">
        <v>124</v>
      </c>
      <c r="C37" s="28" t="s">
        <v>125</v>
      </c>
      <c r="D37" s="17">
        <v>600</v>
      </c>
      <c r="E37" s="20">
        <v>8</v>
      </c>
      <c r="N37" s="27"/>
      <c r="O37" s="27"/>
      <c r="P37" s="27"/>
      <c r="Q37" s="47"/>
      <c r="R37" s="47"/>
      <c r="S37" s="47"/>
      <c r="T37" s="47"/>
      <c r="U37" s="47"/>
      <c r="V37" s="47"/>
      <c r="W37" s="37" t="s">
        <v>124</v>
      </c>
      <c r="X37" s="21"/>
      <c r="Y37" s="21"/>
      <c r="Z37" s="21"/>
      <c r="AA37" s="21" t="s">
        <v>120</v>
      </c>
      <c r="AB37" s="21"/>
      <c r="AH37" s="38">
        <v>500</v>
      </c>
      <c r="AI37" s="38" t="s">
        <v>54</v>
      </c>
    </row>
    <row r="38" spans="1:39" x14ac:dyDescent="0.3">
      <c r="A38" s="8" t="s">
        <v>78</v>
      </c>
      <c r="B38" s="39" t="s">
        <v>126</v>
      </c>
      <c r="C38" s="40" t="s">
        <v>127</v>
      </c>
      <c r="D38" s="17"/>
      <c r="E38" s="20">
        <v>9</v>
      </c>
      <c r="N38" s="39"/>
      <c r="O38" s="39"/>
      <c r="P38" s="39"/>
      <c r="Q38" s="48"/>
      <c r="R38" s="48"/>
      <c r="S38" s="48"/>
      <c r="T38" s="48"/>
      <c r="U38" s="48"/>
      <c r="V38" s="48"/>
      <c r="W38" s="41" t="s">
        <v>126</v>
      </c>
      <c r="X38" s="21"/>
      <c r="Y38" s="21"/>
      <c r="Z38" s="21"/>
      <c r="AA38" s="21"/>
      <c r="AB38" s="21"/>
      <c r="AI38" s="24"/>
    </row>
    <row r="39" spans="1:39" x14ac:dyDescent="0.3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39" x14ac:dyDescent="0.3">
      <c r="A40" s="12" t="s">
        <v>131</v>
      </c>
      <c r="B40" s="17"/>
      <c r="C40" s="25"/>
      <c r="D40" s="51">
        <f>SUM(D5:D38)</f>
        <v>111900</v>
      </c>
      <c r="AD40" s="52">
        <f>SUM(AD5:AD7)</f>
        <v>20000</v>
      </c>
      <c r="AE40" s="52">
        <f>SUM(AE5:AE7)+SUM(AE10:AE16)</f>
        <v>20000</v>
      </c>
      <c r="AF40" s="52">
        <f>SUM(AF5:AF7)+SUM(AF10:AF16)</f>
        <v>20000</v>
      </c>
      <c r="AG40" s="52">
        <f>SUM(AG5:AG7)+SUM(AG10:AG16)+SUM(AG20:AG21)</f>
        <v>20000</v>
      </c>
      <c r="AH40" s="52">
        <f>SUM(AH5:AH7)+SUM(AH10:AH16)+SUM(AH20:AH21)+SUM(AH24:AH28)+SUM(AH35:AH38)</f>
        <v>20000</v>
      </c>
      <c r="AI40" s="52">
        <f>SUM(AI5:AI7)+SUM(AI10:AI16)+SUM(AI20:AI21)+SUM(AI24:AI28)+SUM(AI35:AI38)</f>
        <v>20000</v>
      </c>
      <c r="AJ40" s="52">
        <f>SUM(AJ5:AJ7)+SUM(AJ10:AJ16)+SUM(AJ20:AJ21)+SUM(AJ24:AJ28)+SUM(AJ35:AJ38)</f>
        <v>20000</v>
      </c>
      <c r="AK40" s="52">
        <f>SUM(AK5:AK7)+SUM(AK10:AK16)+SUM(AK20:AK21)+SUM(AK24:AK28)+SUM(AK35:AK38)</f>
        <v>20000</v>
      </c>
      <c r="AM40" s="34"/>
    </row>
    <row r="42" spans="1:39" x14ac:dyDescent="0.3">
      <c r="B42" s="20"/>
    </row>
    <row r="43" spans="1:39" x14ac:dyDescent="0.3">
      <c r="B43" s="20"/>
    </row>
    <row r="44" spans="1:39" x14ac:dyDescent="0.3">
      <c r="B44" s="20"/>
    </row>
    <row r="45" spans="1:39" x14ac:dyDescent="0.3">
      <c r="B45" s="20"/>
    </row>
    <row r="46" spans="1:39" x14ac:dyDescent="0.3">
      <c r="B4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585F-F48C-4511-ACBC-675DE3DC0DDD}">
  <dimension ref="A1:G26"/>
  <sheetViews>
    <sheetView topLeftCell="A3" workbookViewId="0">
      <selection activeCell="F5" sqref="F5"/>
    </sheetView>
  </sheetViews>
  <sheetFormatPr defaultRowHeight="14.4" x14ac:dyDescent="0.3"/>
  <cols>
    <col min="1" max="1" width="5.77734375" style="69" customWidth="1"/>
    <col min="2" max="2" width="10.77734375" style="67" customWidth="1"/>
    <col min="3" max="5" width="15.77734375" style="67" customWidth="1"/>
    <col min="6" max="7" width="60.77734375" style="68" customWidth="1"/>
    <col min="8" max="16384" width="8.88671875" style="66"/>
  </cols>
  <sheetData>
    <row r="1" spans="1:7" ht="28.8" x14ac:dyDescent="0.3">
      <c r="A1" s="70"/>
      <c r="B1" s="71" t="s">
        <v>138</v>
      </c>
      <c r="C1" s="71" t="s">
        <v>139</v>
      </c>
      <c r="D1" s="71" t="s">
        <v>140</v>
      </c>
      <c r="E1" s="71" t="s">
        <v>141</v>
      </c>
      <c r="F1" s="72" t="s">
        <v>142</v>
      </c>
      <c r="G1" s="72" t="s">
        <v>143</v>
      </c>
    </row>
    <row r="2" spans="1:7" ht="43.2" x14ac:dyDescent="0.3">
      <c r="A2" s="69" t="s">
        <v>52</v>
      </c>
      <c r="B2" s="67" t="s">
        <v>144</v>
      </c>
      <c r="C2" s="67" t="s">
        <v>145</v>
      </c>
      <c r="D2" s="67" t="s">
        <v>104</v>
      </c>
      <c r="E2" s="67" t="s">
        <v>146</v>
      </c>
      <c r="F2" s="68" t="s">
        <v>147</v>
      </c>
      <c r="G2" s="68" t="s">
        <v>181</v>
      </c>
    </row>
    <row r="3" spans="1:7" ht="57.6" x14ac:dyDescent="0.3">
      <c r="A3" s="69" t="s">
        <v>60</v>
      </c>
      <c r="B3" s="67" t="s">
        <v>148</v>
      </c>
      <c r="C3" s="67" t="s">
        <v>149</v>
      </c>
      <c r="D3" s="67" t="s">
        <v>182</v>
      </c>
      <c r="E3" s="67" t="s">
        <v>150</v>
      </c>
      <c r="F3" s="68" t="s">
        <v>183</v>
      </c>
      <c r="G3" s="68" t="s">
        <v>184</v>
      </c>
    </row>
    <row r="4" spans="1:7" ht="28.8" x14ac:dyDescent="0.3">
      <c r="A4" s="69" t="s">
        <v>62</v>
      </c>
      <c r="B4" s="67" t="s">
        <v>151</v>
      </c>
      <c r="C4" s="67" t="s">
        <v>152</v>
      </c>
      <c r="D4" s="67" t="s">
        <v>43</v>
      </c>
      <c r="E4" s="67" t="s">
        <v>153</v>
      </c>
      <c r="F4" s="68" t="s">
        <v>154</v>
      </c>
      <c r="G4" s="68" t="s">
        <v>185</v>
      </c>
    </row>
    <row r="5" spans="1:7" ht="72" x14ac:dyDescent="0.3">
      <c r="A5" s="69" t="s">
        <v>64</v>
      </c>
      <c r="B5" s="67" t="s">
        <v>144</v>
      </c>
      <c r="C5" s="67" t="s">
        <v>145</v>
      </c>
      <c r="D5" s="67" t="s">
        <v>155</v>
      </c>
      <c r="E5" s="67" t="s">
        <v>156</v>
      </c>
      <c r="F5" s="68" t="s">
        <v>186</v>
      </c>
      <c r="G5" s="68" t="s">
        <v>187</v>
      </c>
    </row>
    <row r="6" spans="1:7" ht="43.2" x14ac:dyDescent="0.3">
      <c r="A6" s="69" t="s">
        <v>67</v>
      </c>
      <c r="B6" s="67" t="s">
        <v>151</v>
      </c>
      <c r="C6" s="67" t="s">
        <v>152</v>
      </c>
      <c r="D6" s="67" t="s">
        <v>188</v>
      </c>
      <c r="E6" s="67" t="s">
        <v>157</v>
      </c>
      <c r="F6" s="68" t="s">
        <v>158</v>
      </c>
      <c r="G6" s="68" t="s">
        <v>189</v>
      </c>
    </row>
    <row r="7" spans="1:7" ht="43.2" x14ac:dyDescent="0.3">
      <c r="A7" s="69" t="s">
        <v>69</v>
      </c>
      <c r="B7" s="67" t="s">
        <v>151</v>
      </c>
      <c r="C7" s="67" t="s">
        <v>152</v>
      </c>
      <c r="D7" s="67" t="s">
        <v>43</v>
      </c>
      <c r="E7" s="67" t="s">
        <v>159</v>
      </c>
      <c r="F7" s="68" t="s">
        <v>190</v>
      </c>
      <c r="G7" s="68" t="s">
        <v>191</v>
      </c>
    </row>
    <row r="8" spans="1:7" ht="72" x14ac:dyDescent="0.3">
      <c r="A8" s="69" t="s">
        <v>72</v>
      </c>
      <c r="B8" s="67" t="s">
        <v>144</v>
      </c>
      <c r="C8" s="67" t="s">
        <v>145</v>
      </c>
      <c r="D8" s="67" t="s">
        <v>73</v>
      </c>
      <c r="E8" s="67" t="s">
        <v>160</v>
      </c>
      <c r="F8" s="68" t="s">
        <v>192</v>
      </c>
      <c r="G8" s="68" t="s">
        <v>193</v>
      </c>
    </row>
    <row r="9" spans="1:7" ht="72" x14ac:dyDescent="0.3">
      <c r="A9" s="69" t="s">
        <v>75</v>
      </c>
      <c r="B9" s="67" t="s">
        <v>144</v>
      </c>
      <c r="C9" s="67" t="s">
        <v>145</v>
      </c>
      <c r="D9" s="67" t="s">
        <v>76</v>
      </c>
      <c r="E9" s="67" t="s">
        <v>161</v>
      </c>
      <c r="F9" s="68" t="s">
        <v>194</v>
      </c>
      <c r="G9" s="68" t="s">
        <v>195</v>
      </c>
    </row>
    <row r="10" spans="1:7" ht="57.6" x14ac:dyDescent="0.3">
      <c r="A10" s="69" t="s">
        <v>79</v>
      </c>
      <c r="B10" s="67" t="s">
        <v>144</v>
      </c>
      <c r="C10" s="67" t="s">
        <v>145</v>
      </c>
      <c r="D10" s="67" t="s">
        <v>162</v>
      </c>
      <c r="E10" s="67" t="s">
        <v>163</v>
      </c>
      <c r="F10" s="68" t="s">
        <v>196</v>
      </c>
      <c r="G10" s="68" t="s">
        <v>197</v>
      </c>
    </row>
    <row r="11" spans="1:7" ht="57.6" x14ac:dyDescent="0.3">
      <c r="A11" s="69" t="s">
        <v>87</v>
      </c>
      <c r="B11" s="67" t="s">
        <v>151</v>
      </c>
      <c r="C11" s="67" t="s">
        <v>152</v>
      </c>
      <c r="D11" s="67" t="s">
        <v>43</v>
      </c>
      <c r="E11" s="67" t="s">
        <v>164</v>
      </c>
      <c r="F11" s="68" t="s">
        <v>198</v>
      </c>
      <c r="G11" s="68" t="s">
        <v>199</v>
      </c>
    </row>
    <row r="12" spans="1:7" ht="43.2" x14ac:dyDescent="0.3">
      <c r="A12" s="69" t="s">
        <v>231</v>
      </c>
      <c r="B12" s="67" t="s">
        <v>151</v>
      </c>
      <c r="C12" s="67" t="s">
        <v>152</v>
      </c>
      <c r="D12" s="67" t="s">
        <v>43</v>
      </c>
      <c r="E12" s="67" t="s">
        <v>165</v>
      </c>
      <c r="F12" s="68" t="s">
        <v>200</v>
      </c>
      <c r="G12" s="68" t="s">
        <v>201</v>
      </c>
    </row>
    <row r="13" spans="1:7" ht="57.6" x14ac:dyDescent="0.3">
      <c r="A13" s="69" t="s">
        <v>232</v>
      </c>
      <c r="B13" s="67" t="s">
        <v>151</v>
      </c>
      <c r="C13" s="67" t="s">
        <v>152</v>
      </c>
      <c r="D13" s="67" t="s">
        <v>43</v>
      </c>
      <c r="E13" s="67" t="s">
        <v>166</v>
      </c>
      <c r="F13" s="68" t="s">
        <v>202</v>
      </c>
      <c r="G13" s="68" t="s">
        <v>203</v>
      </c>
    </row>
    <row r="14" spans="1:7" ht="72" x14ac:dyDescent="0.3">
      <c r="A14" s="69" t="s">
        <v>94</v>
      </c>
      <c r="B14" s="67" t="s">
        <v>144</v>
      </c>
      <c r="C14" s="67" t="s">
        <v>145</v>
      </c>
      <c r="D14" s="67" t="s">
        <v>95</v>
      </c>
      <c r="E14" s="67" t="s">
        <v>167</v>
      </c>
      <c r="F14" s="68" t="s">
        <v>204</v>
      </c>
      <c r="G14" s="68" t="s">
        <v>205</v>
      </c>
    </row>
    <row r="15" spans="1:7" ht="43.2" x14ac:dyDescent="0.3">
      <c r="A15" s="69" t="s">
        <v>97</v>
      </c>
      <c r="B15" s="67" t="s">
        <v>144</v>
      </c>
      <c r="C15" s="67" t="s">
        <v>145</v>
      </c>
      <c r="D15" s="67" t="s">
        <v>98</v>
      </c>
      <c r="E15" s="67" t="s">
        <v>167</v>
      </c>
      <c r="F15" s="68" t="s">
        <v>168</v>
      </c>
      <c r="G15" s="68" t="s">
        <v>206</v>
      </c>
    </row>
    <row r="16" spans="1:7" ht="43.2" x14ac:dyDescent="0.3">
      <c r="A16" s="69" t="s">
        <v>100</v>
      </c>
      <c r="B16" s="67" t="s">
        <v>144</v>
      </c>
      <c r="C16" s="67" t="s">
        <v>145</v>
      </c>
      <c r="D16" s="67" t="s">
        <v>101</v>
      </c>
      <c r="E16" s="67" t="s">
        <v>167</v>
      </c>
      <c r="F16" s="68" t="s">
        <v>169</v>
      </c>
      <c r="G16" s="68" t="s">
        <v>207</v>
      </c>
    </row>
    <row r="17" spans="1:7" ht="43.2" x14ac:dyDescent="0.3">
      <c r="A17" s="69" t="s">
        <v>103</v>
      </c>
      <c r="B17" s="67" t="s">
        <v>144</v>
      </c>
      <c r="C17" s="67" t="s">
        <v>145</v>
      </c>
      <c r="D17" s="67" t="s">
        <v>104</v>
      </c>
      <c r="E17" s="67" t="s">
        <v>167</v>
      </c>
      <c r="F17" s="68" t="s">
        <v>208</v>
      </c>
      <c r="G17" s="68" t="s">
        <v>209</v>
      </c>
    </row>
    <row r="18" spans="1:7" ht="86.4" x14ac:dyDescent="0.3">
      <c r="A18" s="69" t="s">
        <v>106</v>
      </c>
      <c r="B18" s="67" t="s">
        <v>144</v>
      </c>
      <c r="C18" s="67" t="s">
        <v>145</v>
      </c>
      <c r="D18" s="67" t="s">
        <v>107</v>
      </c>
      <c r="E18" s="67" t="s">
        <v>170</v>
      </c>
      <c r="F18" s="68" t="s">
        <v>210</v>
      </c>
      <c r="G18" s="68" t="s">
        <v>211</v>
      </c>
    </row>
    <row r="19" spans="1:7" ht="43.2" x14ac:dyDescent="0.3">
      <c r="A19" s="69" t="s">
        <v>109</v>
      </c>
      <c r="B19" s="67" t="s">
        <v>144</v>
      </c>
      <c r="C19" s="67" t="s">
        <v>145</v>
      </c>
      <c r="D19" s="67" t="s">
        <v>110</v>
      </c>
      <c r="E19" s="67" t="s">
        <v>167</v>
      </c>
      <c r="F19" s="68" t="s">
        <v>171</v>
      </c>
      <c r="G19" s="68" t="s">
        <v>212</v>
      </c>
    </row>
    <row r="20" spans="1:7" ht="86.4" x14ac:dyDescent="0.3">
      <c r="A20" s="69" t="s">
        <v>111</v>
      </c>
      <c r="B20" s="67" t="s">
        <v>144</v>
      </c>
      <c r="C20" s="67" t="s">
        <v>145</v>
      </c>
      <c r="D20" s="67" t="s">
        <v>172</v>
      </c>
      <c r="E20" s="67" t="s">
        <v>173</v>
      </c>
      <c r="F20" s="68" t="s">
        <v>213</v>
      </c>
      <c r="G20" s="68" t="s">
        <v>214</v>
      </c>
    </row>
    <row r="21" spans="1:7" ht="57.6" x14ac:dyDescent="0.3">
      <c r="A21" s="69" t="s">
        <v>114</v>
      </c>
      <c r="B21" s="67" t="s">
        <v>144</v>
      </c>
      <c r="C21" s="67" t="s">
        <v>145</v>
      </c>
      <c r="D21" s="67" t="s">
        <v>116</v>
      </c>
      <c r="E21" s="67" t="s">
        <v>174</v>
      </c>
      <c r="F21" s="68" t="s">
        <v>215</v>
      </c>
      <c r="G21" s="68" t="s">
        <v>216</v>
      </c>
    </row>
    <row r="22" spans="1:7" ht="86.4" x14ac:dyDescent="0.3">
      <c r="A22" s="69" t="s">
        <v>117</v>
      </c>
      <c r="B22" s="67" t="s">
        <v>148</v>
      </c>
      <c r="C22" s="67" t="s">
        <v>175</v>
      </c>
      <c r="D22" s="67" t="s">
        <v>217</v>
      </c>
      <c r="E22" s="67" t="s">
        <v>176</v>
      </c>
      <c r="F22" s="68" t="s">
        <v>218</v>
      </c>
      <c r="G22" s="68" t="s">
        <v>219</v>
      </c>
    </row>
    <row r="23" spans="1:7" ht="86.4" x14ac:dyDescent="0.3">
      <c r="A23" s="69" t="s">
        <v>121</v>
      </c>
      <c r="B23" s="67" t="s">
        <v>220</v>
      </c>
      <c r="C23" s="67" t="s">
        <v>177</v>
      </c>
      <c r="D23" s="67" t="s">
        <v>43</v>
      </c>
      <c r="E23" s="67" t="s">
        <v>221</v>
      </c>
      <c r="F23" s="68" t="s">
        <v>222</v>
      </c>
      <c r="G23" s="68" t="s">
        <v>223</v>
      </c>
    </row>
    <row r="24" spans="1:7" ht="43.2" x14ac:dyDescent="0.3">
      <c r="A24" s="69" t="s">
        <v>28</v>
      </c>
      <c r="B24" s="67" t="s">
        <v>144</v>
      </c>
      <c r="C24" s="67" t="s">
        <v>145</v>
      </c>
      <c r="D24" s="67" t="s">
        <v>122</v>
      </c>
      <c r="E24" s="67" t="s">
        <v>167</v>
      </c>
      <c r="F24" s="68" t="s">
        <v>224</v>
      </c>
      <c r="G24" s="68" t="s">
        <v>225</v>
      </c>
    </row>
    <row r="25" spans="1:7" ht="86.4" x14ac:dyDescent="0.3">
      <c r="A25" s="69" t="s">
        <v>124</v>
      </c>
      <c r="B25" s="67" t="s">
        <v>144</v>
      </c>
      <c r="C25" s="67" t="s">
        <v>145</v>
      </c>
      <c r="D25" s="67" t="s">
        <v>122</v>
      </c>
      <c r="E25" s="67" t="s">
        <v>178</v>
      </c>
      <c r="F25" s="68" t="s">
        <v>226</v>
      </c>
      <c r="G25" s="68" t="s">
        <v>227</v>
      </c>
    </row>
    <row r="26" spans="1:7" ht="100.8" x14ac:dyDescent="0.3">
      <c r="A26" s="69" t="s">
        <v>126</v>
      </c>
      <c r="B26" s="67" t="s">
        <v>144</v>
      </c>
      <c r="C26" s="67" t="s">
        <v>179</v>
      </c>
      <c r="D26" s="67" t="s">
        <v>180</v>
      </c>
      <c r="E26" s="67" t="s">
        <v>228</v>
      </c>
      <c r="F26" s="68" t="s">
        <v>229</v>
      </c>
      <c r="G26" s="6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</vt:lpstr>
      <vt:lpstr>Market Expansion Plan</vt:lpstr>
      <vt:lpstr>Future Order Plan</vt:lpstr>
      <vt:lpstr>Overlay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Kim</dc:creator>
  <cp:lastModifiedBy>Julius Kim</cp:lastModifiedBy>
  <dcterms:created xsi:type="dcterms:W3CDTF">2026-10-01T04:47:42Z</dcterms:created>
  <dcterms:modified xsi:type="dcterms:W3CDTF">2026-10-01T05:30:38Z</dcterms:modified>
</cp:coreProperties>
</file>